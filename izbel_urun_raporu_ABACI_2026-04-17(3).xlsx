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ACI — Tedarikli" state="visible" r:id="rId4"/>
    <sheet sheetId="2" name="Diğer (Kategorisiz)" state="visible" r:id="rId5"/>
    <sheet sheetId="3" name="Satış Raporu" state="visible" r:id="rId6"/>
    <sheet sheetId="4" name="Hammaddeler" state="visible" r:id="rId7"/>
    <sheet sheetId="5" name="Reçete Tüketim Detay" state="visible" r:id="rId8"/>
  </sheets>
  <calcPr calcId="171027"/>
</workbook>
</file>

<file path=xl/sharedStrings.xml><?xml version="1.0" encoding="utf-8"?>
<sst xmlns="http://schemas.openxmlformats.org/spreadsheetml/2006/main" count="1517" uniqueCount="289">
  <si>
    <t>Şube</t>
  </si>
  <si>
    <t>Sayım Dönemi</t>
  </si>
  <si>
    <t>Stok Kodu</t>
  </si>
  <si>
    <t>Ürün Adı</t>
  </si>
  <si>
    <t>Açılış Stok</t>
  </si>
  <si>
    <t>Tedarik (Manuel)</t>
  </si>
  <si>
    <t>Gelen Transfer</t>
  </si>
  <si>
    <t>Giden Transfer</t>
  </si>
  <si>
    <t>Reçete Tüketimi</t>
  </si>
  <si>
    <t>Teorik Kalan</t>
  </si>
  <si>
    <t>Sayılan Stok</t>
  </si>
  <si>
    <t>Fark (Sayılan-Teorik)</t>
  </si>
  <si>
    <t>Birim Maliyet (TL)</t>
  </si>
  <si>
    <t>Toplam Fark TL</t>
  </si>
  <si>
    <t>Durum</t>
  </si>
  <si>
    <t>ABACI</t>
  </si>
  <si>
    <t>1. ÇEYREK SAYIMI MART</t>
  </si>
  <si>
    <t>ST00250</t>
  </si>
  <si>
    <t>24*24 PEÇETE</t>
  </si>
  <si>
    <t>Bekliyor</t>
  </si>
  <si>
    <t>st0000035</t>
  </si>
  <si>
    <t>4 OZ BARDAK</t>
  </si>
  <si>
    <t>ST0000048</t>
  </si>
  <si>
    <t>7 OZ KARTON BARDAK</t>
  </si>
  <si>
    <t>ST00200</t>
  </si>
  <si>
    <t>AYRAN 200 ML HALİL KOYUNCUOĞLU</t>
  </si>
  <si>
    <t>ST00415</t>
  </si>
  <si>
    <t>BARDAK COOKİE</t>
  </si>
  <si>
    <t>Sayılmadı (reçete/tedarik)</t>
  </si>
  <si>
    <t>ST0000240</t>
  </si>
  <si>
    <t>BULAŞIK ELDİVENİ</t>
  </si>
  <si>
    <t>ST0000266</t>
  </si>
  <si>
    <t>BULAŞIK TOP TEL</t>
  </si>
  <si>
    <t>ST0000001</t>
  </si>
  <si>
    <t>CAJUN BAHARATI 1000 GR</t>
  </si>
  <si>
    <t>ST0000358</t>
  </si>
  <si>
    <t>CAPPY KRSIK SLEEK KUTU 330ML 12'Lİ</t>
  </si>
  <si>
    <t>ST00127</t>
  </si>
  <si>
    <t>CAPPY ŞEFTALİ</t>
  </si>
  <si>
    <t>ST00026</t>
  </si>
  <si>
    <t>COCA COLA</t>
  </si>
  <si>
    <t>ST00027</t>
  </si>
  <si>
    <t>COLA ZERO</t>
  </si>
  <si>
    <t>ST0000207</t>
  </si>
  <si>
    <t>ÇAMAŞIR SUYU</t>
  </si>
  <si>
    <t>ST00367</t>
  </si>
  <si>
    <t>ÇEKSİL SAPLI</t>
  </si>
  <si>
    <t>ST00166</t>
  </si>
  <si>
    <t>ÇITIR TAVUK BONFİLE PARÇALARI</t>
  </si>
  <si>
    <t>ST0000247</t>
  </si>
  <si>
    <t>ÇÖP TORBASI JUMBO DÖKME SİYAH 80*110</t>
  </si>
  <si>
    <t>ST00198</t>
  </si>
  <si>
    <t>DAMACANA SU 1 LT</t>
  </si>
  <si>
    <t>ST00030</t>
  </si>
  <si>
    <t>DAMLA SADE SODA</t>
  </si>
  <si>
    <t>ST0000351</t>
  </si>
  <si>
    <t>DAMLA SU PET 500 ML</t>
  </si>
  <si>
    <t>st0000244</t>
  </si>
  <si>
    <t>ENDÜSTRİYEL SÜNGER</t>
  </si>
  <si>
    <t>ST00028</t>
  </si>
  <si>
    <t>FANTA 330 ML KUTU</t>
  </si>
  <si>
    <t>ST0000005</t>
  </si>
  <si>
    <t>FRİTA YAĞI 18 LT</t>
  </si>
  <si>
    <t>ST00125</t>
  </si>
  <si>
    <t>FUSE TEA KAVUN ÇİLEK</t>
  </si>
  <si>
    <t>ST00122</t>
  </si>
  <si>
    <t>FUSE TEA LİMON</t>
  </si>
  <si>
    <t>ST00124</t>
  </si>
  <si>
    <t>FUSE TEA MANGO ANANAS</t>
  </si>
  <si>
    <t>ST00121</t>
  </si>
  <si>
    <t>FUSE TEA ŞEFTALİ</t>
  </si>
  <si>
    <t>ST0000448</t>
  </si>
  <si>
    <t>GEDİK PL. KOKT. SOSİS 1KG*8</t>
  </si>
  <si>
    <t>ST0000173</t>
  </si>
  <si>
    <t>HARUN DİLİM KAŞAR</t>
  </si>
  <si>
    <t>ST00017</t>
  </si>
  <si>
    <t>HAVUÇLU CUPCAKE</t>
  </si>
  <si>
    <t>ST0000008</t>
  </si>
  <si>
    <t>HİSAR TÜRK KAHVE 500 GR</t>
  </si>
  <si>
    <t>ST0000041</t>
  </si>
  <si>
    <t>ISLAK KOLONYALI MENDİL KOLİ 1000 ADET</t>
  </si>
  <si>
    <t>ST0000121</t>
  </si>
  <si>
    <t>İÇTEN ÇEKMELİ HAVLU</t>
  </si>
  <si>
    <t>ST0000125</t>
  </si>
  <si>
    <t>JUMBO ÇÖP TORBASI 400 GR</t>
  </si>
  <si>
    <t>ST00246</t>
  </si>
  <si>
    <t>KAKAOLU CUPCAKE</t>
  </si>
  <si>
    <t>ST00016</t>
  </si>
  <si>
    <t>KAKOULU CUPCAKE</t>
  </si>
  <si>
    <t>ST0000031</t>
  </si>
  <si>
    <t>KARIŞTIRICI</t>
  </si>
  <si>
    <t>ST0000245</t>
  </si>
  <si>
    <t>KİREÇ ÇÖZÜCÜ 1KG</t>
  </si>
  <si>
    <t>ST00412</t>
  </si>
  <si>
    <t>KÜLTABLASI</t>
  </si>
  <si>
    <t>ST00301</t>
  </si>
  <si>
    <t>MAGNOLİA</t>
  </si>
  <si>
    <t>ST0000071</t>
  </si>
  <si>
    <t>MİKROFİBER BEZ</t>
  </si>
  <si>
    <t>ST00393</t>
  </si>
  <si>
    <t>MİNİ COOKİE İKRAM</t>
  </si>
  <si>
    <t>ST0000082</t>
  </si>
  <si>
    <t>MOP YEDEK NEMLİ</t>
  </si>
  <si>
    <t>ST0000470</t>
  </si>
  <si>
    <t>NAR KESME ŞEKER 750 GR</t>
  </si>
  <si>
    <t>ST0000042</t>
  </si>
  <si>
    <t>NAYLON TORBA</t>
  </si>
  <si>
    <t>ST0000276</t>
  </si>
  <si>
    <t>NESCAFE CAPPUCINO VANL. 12X1KG</t>
  </si>
  <si>
    <t>ST0000275</t>
  </si>
  <si>
    <t>NESCAFE INTENSE</t>
  </si>
  <si>
    <t>ST0000272</t>
  </si>
  <si>
    <t>NESTLE CAPUCCINOCREAMER 12X1KG</t>
  </si>
  <si>
    <t>ST0000280</t>
  </si>
  <si>
    <t>NESTLE KAKAO 4X1KG</t>
  </si>
  <si>
    <t>ST0000274</t>
  </si>
  <si>
    <t>NESTLE SICAK ÇİKOLATA 12X1KG</t>
  </si>
  <si>
    <t>ST00031</t>
  </si>
  <si>
    <t>NİĞDE GAZOZ</t>
  </si>
  <si>
    <t>ST0000009</t>
  </si>
  <si>
    <t>PEKMEZCİ SİGARA BÖREĞİ (KALEM)</t>
  </si>
  <si>
    <t>st0000043</t>
  </si>
  <si>
    <t>PİŞİRME KAĞIDI - YAĞLI KAĞIT</t>
  </si>
  <si>
    <t>ST0000115</t>
  </si>
  <si>
    <t>PLASTİK KAŞIK 100 LÜ</t>
  </si>
  <si>
    <t>ST00294</t>
  </si>
  <si>
    <t>PROFİTEROL CUP</t>
  </si>
  <si>
    <t>ST0000032</t>
  </si>
  <si>
    <t>SİYAH HASPET MUAYENE ELDİVENİ 100'LÜ</t>
  </si>
  <si>
    <t>ST0000033</t>
  </si>
  <si>
    <t>STREÇ FİLM</t>
  </si>
  <si>
    <t>ST00202</t>
  </si>
  <si>
    <t>SUPERFRESH 9*9 PATATES (KLASİK)</t>
  </si>
  <si>
    <t>ST0000054</t>
  </si>
  <si>
    <t>TBT JUMBO DEMLİK 30 GR OFÇAY ( 30 ADET)</t>
  </si>
  <si>
    <t>ST0000052</t>
  </si>
  <si>
    <t>TEK KULLANIMLIK KETÇAP</t>
  </si>
  <si>
    <t>ST0000053</t>
  </si>
  <si>
    <t>TEK KULLANIMLIK MAYONEZ</t>
  </si>
  <si>
    <t>ST0000465</t>
  </si>
  <si>
    <t>TERMAL POS RULOSU</t>
  </si>
  <si>
    <t>ST0000466</t>
  </si>
  <si>
    <t>TERMAL RULOSU</t>
  </si>
  <si>
    <t>ST00298</t>
  </si>
  <si>
    <t>TİRAMİSU CUP</t>
  </si>
  <si>
    <t>ST0000004</t>
  </si>
  <si>
    <t>ÜLKER TEREMYAĞ KG</t>
  </si>
  <si>
    <t>ST0000261</t>
  </si>
  <si>
    <t>VENTURA CONTRA KİREÇ ÇÖZ 20 KG</t>
  </si>
  <si>
    <t>ST00217</t>
  </si>
  <si>
    <t>VENTURA FRESH M (Genel Temizlik Md.) 20 KG</t>
  </si>
  <si>
    <t>ST0000256</t>
  </si>
  <si>
    <t>VENTURA RİNSE PARLATICI</t>
  </si>
  <si>
    <t>TOPLAM</t>
  </si>
  <si>
    <t>ST0000051</t>
  </si>
  <si>
    <t>8 OZ BARDAK</t>
  </si>
  <si>
    <t/>
  </si>
  <si>
    <t>Asperox Sarı güç</t>
  </si>
  <si>
    <t>ST0000083</t>
  </si>
  <si>
    <t>AYÇİÇEK YAĞI  LT</t>
  </si>
  <si>
    <t>ST00297</t>
  </si>
  <si>
    <t>BEYAZ ÇİKOLATA KUVERTÜR</t>
  </si>
  <si>
    <t>ST00128</t>
  </si>
  <si>
    <t>CAPPY ATOM</t>
  </si>
  <si>
    <t>ST00126</t>
  </si>
  <si>
    <t>CAPPY KARIŞIK</t>
  </si>
  <si>
    <t>ST0000360</t>
  </si>
  <si>
    <t>CAPPY VISNELI</t>
  </si>
  <si>
    <t>ST0000061</t>
  </si>
  <si>
    <t>CEVİZ İÇİ</t>
  </si>
  <si>
    <t>ST00300</t>
  </si>
  <si>
    <t>CİCİ BEBE</t>
  </si>
  <si>
    <t>ST00291</t>
  </si>
  <si>
    <t>ÇİKOLATA SOS</t>
  </si>
  <si>
    <t>ST0000330</t>
  </si>
  <si>
    <t>ÇİLEK</t>
  </si>
  <si>
    <t>ST0000166</t>
  </si>
  <si>
    <t>DAMLA DROP BİTTER KİLOLUK</t>
  </si>
  <si>
    <t>ST0000079</t>
  </si>
  <si>
    <t>DR OETKER VANILYA 1 KG</t>
  </si>
  <si>
    <t>ST00299</t>
  </si>
  <si>
    <t>ETİ BURÇAK</t>
  </si>
  <si>
    <t>ST0000089</t>
  </si>
  <si>
    <t>FINDIK KIRIK 1 KG</t>
  </si>
  <si>
    <t>ST0000044</t>
  </si>
  <si>
    <t>FROZEN PİPET</t>
  </si>
  <si>
    <t>ST0000347</t>
  </si>
  <si>
    <t>FUTEA LIMON KUTU 330ML</t>
  </si>
  <si>
    <t>ST0000346</t>
  </si>
  <si>
    <t>FUTEA MAN-ANNS KUTU 330ML</t>
  </si>
  <si>
    <t>ST0000444</t>
  </si>
  <si>
    <t>HANTAL BOY ÇÖP TORBASI</t>
  </si>
  <si>
    <t>ST0000303</t>
  </si>
  <si>
    <t>HAVUÇ</t>
  </si>
  <si>
    <t>ST0000241</t>
  </si>
  <si>
    <t>İÇTEN ÇEKMELİ HAVLU 6'LI</t>
  </si>
  <si>
    <t>ST991122</t>
  </si>
  <si>
    <t>İZMİR SU 500 ML</t>
  </si>
  <si>
    <t>ST0000159</t>
  </si>
  <si>
    <t>KABARTMA TOZU 1 KG</t>
  </si>
  <si>
    <t>ST0000088</t>
  </si>
  <si>
    <t>KAKAO 1 KG</t>
  </si>
  <si>
    <t>ST00002</t>
  </si>
  <si>
    <t>KAŞARLI TOST</t>
  </si>
  <si>
    <t>ST00296</t>
  </si>
  <si>
    <t>KEDİ DİLİ</t>
  </si>
  <si>
    <t>ST00019</t>
  </si>
  <si>
    <t>KURU PASTA ADET</t>
  </si>
  <si>
    <t>ST00295</t>
  </si>
  <si>
    <t>LABNE</t>
  </si>
  <si>
    <t>ST0000237</t>
  </si>
  <si>
    <t>MİCROFİBER BEZ</t>
  </si>
  <si>
    <t>ST0000250</t>
  </si>
  <si>
    <t>MUAYENE ELDİVEN NİTRİL MAVİ/M-L</t>
  </si>
  <si>
    <t>ST0000021</t>
  </si>
  <si>
    <t>NİŞASTA 10 KG</t>
  </si>
  <si>
    <t>ST0000020</t>
  </si>
  <si>
    <t>OVA UN</t>
  </si>
  <si>
    <t>ST00293</t>
  </si>
  <si>
    <t>PASTACI KREMASI</t>
  </si>
  <si>
    <t>ST0000193</t>
  </si>
  <si>
    <t>PLASTİK ÇATAL 100 LÜ</t>
  </si>
  <si>
    <t>ST00292</t>
  </si>
  <si>
    <t>PROFİTEROL HAMURU</t>
  </si>
  <si>
    <t>ST0000062</t>
  </si>
  <si>
    <t>PUDRA ŞEKERİ DÖKME</t>
  </si>
  <si>
    <t>ST0000252</t>
  </si>
  <si>
    <t>SIVI SABUN 1 LT</t>
  </si>
  <si>
    <t>ST00029</t>
  </si>
  <si>
    <t>SPRİTE</t>
  </si>
  <si>
    <t>ST0000439</t>
  </si>
  <si>
    <t>SÜT YARIM YAĞLI 1 LT</t>
  </si>
  <si>
    <t>ST0000179</t>
  </si>
  <si>
    <t>TARÇIN</t>
  </si>
  <si>
    <t>ST00365</t>
  </si>
  <si>
    <t>TATLILAR İÇİN  KREMA 1 LT</t>
  </si>
  <si>
    <t>ST0000019</t>
  </si>
  <si>
    <t>TEKLİ SARMA ŞEKER</t>
  </si>
  <si>
    <t>ST0000433</t>
  </si>
  <si>
    <t>TOST EKMEĞİ 1000 GR</t>
  </si>
  <si>
    <t>ST0000078</t>
  </si>
  <si>
    <t>TOZ ŞEKER 50 KG</t>
  </si>
  <si>
    <t>ST0000017</t>
  </si>
  <si>
    <t>TRAKYAĞ SIVIYAĞ LT</t>
  </si>
  <si>
    <t>ST0000255</t>
  </si>
  <si>
    <t>VENTURA BULAŞIK MAK DTRJAN 20KG</t>
  </si>
  <si>
    <t>ST0000246</t>
  </si>
  <si>
    <t>VENTURA EXTRA ELDE YIK.BUL.DET.20KG</t>
  </si>
  <si>
    <t>ST0000382</t>
  </si>
  <si>
    <t>YUMURTA 30 LU</t>
  </si>
  <si>
    <t>Satış (Adet)</t>
  </si>
  <si>
    <t>ST00118</t>
  </si>
  <si>
    <t>LATTE</t>
  </si>
  <si>
    <t>ST00022</t>
  </si>
  <si>
    <t>DUBLE TÜRK KAHVESİ</t>
  </si>
  <si>
    <t>ST00120</t>
  </si>
  <si>
    <t>SICAK ÇİKOLATA</t>
  </si>
  <si>
    <t>ST00025</t>
  </si>
  <si>
    <t>*CAPPUCCİNO</t>
  </si>
  <si>
    <t>ST00038</t>
  </si>
  <si>
    <t>PATSO</t>
  </si>
  <si>
    <t>ST00024</t>
  </si>
  <si>
    <t>NESCAFE</t>
  </si>
  <si>
    <t>ST00015</t>
  </si>
  <si>
    <t>KALBURABASTI</t>
  </si>
  <si>
    <t>ST00023</t>
  </si>
  <si>
    <t>ESPRESSO</t>
  </si>
  <si>
    <t>ST00397</t>
  </si>
  <si>
    <t>PROFİTEROL</t>
  </si>
  <si>
    <t>ST00004</t>
  </si>
  <si>
    <t>PATATES KIZARTMASI</t>
  </si>
  <si>
    <t>ST00398</t>
  </si>
  <si>
    <t>TİRAMİSU</t>
  </si>
  <si>
    <t>ST00020</t>
  </si>
  <si>
    <t>ÇAY</t>
  </si>
  <si>
    <t>ST00131</t>
  </si>
  <si>
    <t>TÜRK KAHVESİ ORTA</t>
  </si>
  <si>
    <t>ST00132</t>
  </si>
  <si>
    <t>TÜRK KAHVESİ ŞEKERLİ</t>
  </si>
  <si>
    <t>ST00003</t>
  </si>
  <si>
    <t>KARIŞIK SICAK TABAK</t>
  </si>
  <si>
    <t>ST00130</t>
  </si>
  <si>
    <t>TÜRK KAHVESİ SADE</t>
  </si>
  <si>
    <t>Malzeme Adı</t>
  </si>
  <si>
    <t>Mamul Stok Kodu</t>
  </si>
  <si>
    <t>Mamul Adı</t>
  </si>
  <si>
    <t>Malzeme Stok Kodu</t>
  </si>
  <si>
    <t>Reçete Katsayı</t>
  </si>
  <si>
    <t>Tüketim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</si>
</sst>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0F172A"/>
      <sz val="10"/>
      <name val="Arial"/>
    </font>
    <font>
      <b/>
      <name val="Arial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/>
    <xf numFmtId="4" fontId="3" fillId="3" borderId="1" xfId="0" applyNumberFormat="1" applyFont="1" applyFill="1" applyBorder="1"/>
  </cellXfs>
  <cellStyles count="1">
    <cellStyle name="Normal" xfId="0" builtinId="0"/>
  </cellStyles>
  <dxfs count="8">
    <dxf>
      <font>
        <b/>
        <color rgb="FFB91C1C"/>
      </font>
      <fill>
        <patternFill patternType="solid">
          <fgColor rgb="FFFFE4E6"/>
        </patternFill>
      </fill>
    </dxf>
    <dxf>
      <font>
        <b/>
        <color rgb="FF15803D"/>
      </font>
      <fill>
        <patternFill patternType="solid">
          <fgColor rgb="FFDCFCE7"/>
        </patternFill>
      </fill>
    </dxf>
    <dxf>
      <font>
        <b/>
        <color rgb="FF9F1239"/>
      </font>
      <fill>
        <patternFill patternType="solid">
          <fgColor rgb="FFFFE4E6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B91C1C"/>
      </font>
      <fill>
        <patternFill patternType="solid">
          <fgColor rgb="FFFFE4E6"/>
        </patternFill>
      </fill>
    </dxf>
    <dxf>
      <font>
        <b/>
        <color rgb="FF15803D"/>
      </font>
      <fill>
        <patternFill patternType="solid">
          <fgColor rgb="FFDCFCE7"/>
        </patternFill>
      </fill>
    </dxf>
    <dxf>
      <font>
        <b/>
        <color rgb="FF9F1239"/>
      </font>
      <fill>
        <patternFill patternType="solid">
          <fgColor rgb="FFFFE4E6"/>
        </patternFill>
      </fill>
    </dxf>
    <dxf>
      <font>
        <b/>
        <color rgb="FF166534"/>
      </font>
      <fill>
        <patternFill patternType="solid">
          <f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4" customWidth="1"/>
    <col min="4" max="4" width="42" customWidth="1"/>
    <col min="5" max="5" width="14" customWidth="1"/>
    <col min="6" max="6" width="16" customWidth="1"/>
    <col min="7" max="8" width="14" customWidth="1"/>
    <col min="9" max="9" width="16" customWidth="1"/>
    <col min="10" max="11" width="14" customWidth="1"/>
    <col min="12" max="12" width="18" customWidth="1"/>
    <col min="13" max="14" width="16" customWidth="1"/>
    <col min="15" max="15" width="18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16</v>
      </c>
      <c r="F2" s="3">
        <v>16</v>
      </c>
      <c r="G2" s="3">
        <v>0</v>
      </c>
      <c r="H2" s="3">
        <v>0</v>
      </c>
      <c r="I2" s="3">
        <v>0</v>
      </c>
      <c r="J2" s="3">
        <f>E2+F2+G2-H2-I2</f>
      </c>
      <c r="K2" s="3">
        <v>4</v>
      </c>
      <c r="L2" s="4">
        <f>K2-J2</f>
      </c>
      <c r="M2" s="3">
        <v>458</v>
      </c>
      <c r="N2" s="4">
        <f>L2*M2</f>
      </c>
      <c r="O2" s="2" t="s">
        <v>19</v>
      </c>
    </row>
    <row r="3" spans="1:15" x14ac:dyDescent="0.25">
      <c r="A3" s="5" t="s">
        <v>15</v>
      </c>
      <c r="B3" s="5" t="s">
        <v>16</v>
      </c>
      <c r="C3" s="5" t="s">
        <v>20</v>
      </c>
      <c r="D3" s="5" t="s">
        <v>21</v>
      </c>
      <c r="E3" s="4">
        <v>1</v>
      </c>
      <c r="F3" s="4">
        <v>1</v>
      </c>
      <c r="G3" s="4">
        <v>0</v>
      </c>
      <c r="H3" s="4">
        <v>0</v>
      </c>
      <c r="I3" s="4">
        <v>0</v>
      </c>
      <c r="J3" s="4">
        <f>E3+F3+G3-H3-I3</f>
      </c>
      <c r="K3" s="4">
        <v>258</v>
      </c>
      <c r="L3" s="4">
        <f>K3-J3</f>
      </c>
      <c r="M3" s="4">
        <v>0.98</v>
      </c>
      <c r="N3" s="4">
        <f>L3*M3</f>
      </c>
      <c r="O3" s="5" t="s">
        <v>19</v>
      </c>
    </row>
    <row r="4" spans="1:15" x14ac:dyDescent="0.25">
      <c r="A4" s="2" t="s">
        <v>15</v>
      </c>
      <c r="B4" s="2" t="s">
        <v>16</v>
      </c>
      <c r="C4" s="2" t="s">
        <v>22</v>
      </c>
      <c r="D4" s="2" t="s">
        <v>23</v>
      </c>
      <c r="E4" s="3">
        <v>2</v>
      </c>
      <c r="F4" s="3">
        <v>2</v>
      </c>
      <c r="G4" s="3">
        <v>0</v>
      </c>
      <c r="H4" s="3">
        <v>0</v>
      </c>
      <c r="I4" s="3">
        <v>0</v>
      </c>
      <c r="J4" s="3">
        <f>E4+F4+G4-H4-I4</f>
      </c>
      <c r="K4" s="3">
        <v>3258</v>
      </c>
      <c r="L4" s="4">
        <f>K4-J4</f>
      </c>
      <c r="M4" s="3">
        <v>0.55</v>
      </c>
      <c r="N4" s="4">
        <f>L4*M4</f>
      </c>
      <c r="O4" s="2" t="s">
        <v>19</v>
      </c>
    </row>
    <row r="5" spans="1:15" x14ac:dyDescent="0.25">
      <c r="A5" s="5" t="s">
        <v>15</v>
      </c>
      <c r="B5" s="5" t="s">
        <v>16</v>
      </c>
      <c r="C5" s="5" t="s">
        <v>24</v>
      </c>
      <c r="D5" s="5" t="s">
        <v>25</v>
      </c>
      <c r="E5" s="4">
        <v>-1641</v>
      </c>
      <c r="F5" s="4">
        <v>81</v>
      </c>
      <c r="G5" s="4">
        <v>0</v>
      </c>
      <c r="H5" s="4">
        <v>0</v>
      </c>
      <c r="I5" s="4">
        <v>1722</v>
      </c>
      <c r="J5" s="4">
        <f>E5+F5+G5-H5-I5</f>
      </c>
      <c r="K5" s="4">
        <v>52</v>
      </c>
      <c r="L5" s="4">
        <f>K5-J5</f>
      </c>
      <c r="M5" s="4">
        <v>9.2</v>
      </c>
      <c r="N5" s="4">
        <f>L5*M5</f>
      </c>
      <c r="O5" s="5" t="s">
        <v>19</v>
      </c>
    </row>
    <row r="6" spans="1:15" x14ac:dyDescent="0.25">
      <c r="A6" s="2" t="s">
        <v>15</v>
      </c>
      <c r="B6" s="2" t="s">
        <v>16</v>
      </c>
      <c r="C6" s="2" t="s">
        <v>26</v>
      </c>
      <c r="D6" s="2" t="s">
        <v>27</v>
      </c>
      <c r="E6" s="3">
        <v>44</v>
      </c>
      <c r="F6" s="3">
        <v>128</v>
      </c>
      <c r="G6" s="3">
        <v>32</v>
      </c>
      <c r="H6" s="3">
        <v>0</v>
      </c>
      <c r="I6" s="3">
        <v>20</v>
      </c>
      <c r="J6" s="3">
        <f>E6+F6+G6-H6-I6</f>
      </c>
      <c r="K6" s="3">
        <v>0</v>
      </c>
      <c r="L6" s="4">
        <f>0-J6</f>
      </c>
      <c r="M6" s="3">
        <v>0</v>
      </c>
      <c r="N6" s="4">
        <f>L6*M6</f>
      </c>
      <c r="O6" s="2" t="s">
        <v>28</v>
      </c>
    </row>
    <row r="7" spans="1:15" x14ac:dyDescent="0.25">
      <c r="A7" s="5" t="s">
        <v>15</v>
      </c>
      <c r="B7" s="5" t="s">
        <v>16</v>
      </c>
      <c r="C7" s="5" t="s">
        <v>29</v>
      </c>
      <c r="D7" s="5" t="s">
        <v>30</v>
      </c>
      <c r="E7" s="4">
        <v>6</v>
      </c>
      <c r="F7" s="4">
        <v>6</v>
      </c>
      <c r="G7" s="4">
        <v>0</v>
      </c>
      <c r="H7" s="4">
        <v>0</v>
      </c>
      <c r="I7" s="4">
        <v>0</v>
      </c>
      <c r="J7" s="4">
        <f>E7+F7+G7-H7-I7</f>
      </c>
      <c r="K7" s="4">
        <v>0</v>
      </c>
      <c r="L7" s="4">
        <f>0-J7</f>
      </c>
      <c r="M7" s="4">
        <v>39</v>
      </c>
      <c r="N7" s="4">
        <f>L7*M7</f>
      </c>
      <c r="O7" s="5" t="s">
        <v>28</v>
      </c>
    </row>
    <row r="8" spans="1:15" x14ac:dyDescent="0.25">
      <c r="A8" s="2" t="s">
        <v>15</v>
      </c>
      <c r="B8" s="2" t="s">
        <v>16</v>
      </c>
      <c r="C8" s="2" t="s">
        <v>31</v>
      </c>
      <c r="D8" s="2" t="s">
        <v>32</v>
      </c>
      <c r="E8" s="3">
        <v>2</v>
      </c>
      <c r="F8" s="3">
        <v>2</v>
      </c>
      <c r="G8" s="3">
        <v>0</v>
      </c>
      <c r="H8" s="3">
        <v>0</v>
      </c>
      <c r="I8" s="3">
        <v>0</v>
      </c>
      <c r="J8" s="3">
        <f>E8+F8+G8-H8-I8</f>
      </c>
      <c r="K8" s="3">
        <v>0</v>
      </c>
      <c r="L8" s="4">
        <f>0-J8</f>
      </c>
      <c r="M8" s="3">
        <v>48.2</v>
      </c>
      <c r="N8" s="4">
        <f>L8*M8</f>
      </c>
      <c r="O8" s="2" t="s">
        <v>28</v>
      </c>
    </row>
    <row r="9" spans="1:15" x14ac:dyDescent="0.25">
      <c r="A9" s="5" t="s">
        <v>15</v>
      </c>
      <c r="B9" s="5" t="s">
        <v>16</v>
      </c>
      <c r="C9" s="5" t="s">
        <v>33</v>
      </c>
      <c r="D9" s="5" t="s">
        <v>34</v>
      </c>
      <c r="E9" s="4">
        <v>-72.27500000000002</v>
      </c>
      <c r="F9" s="4">
        <v>18</v>
      </c>
      <c r="G9" s="4">
        <v>0</v>
      </c>
      <c r="H9" s="4">
        <v>0</v>
      </c>
      <c r="I9" s="4">
        <v>90.27500000000002</v>
      </c>
      <c r="J9" s="4">
        <f>E9+F9+G9-H9-I9</f>
      </c>
      <c r="K9" s="4">
        <v>3.5</v>
      </c>
      <c r="L9" s="4">
        <f>K9-J9</f>
      </c>
      <c r="M9" s="4">
        <v>207.5</v>
      </c>
      <c r="N9" s="4">
        <f>L9*M9</f>
      </c>
      <c r="O9" s="5" t="s">
        <v>19</v>
      </c>
    </row>
    <row r="10" spans="1:15" x14ac:dyDescent="0.25">
      <c r="A10" s="2" t="s">
        <v>15</v>
      </c>
      <c r="B10" s="2" t="s">
        <v>16</v>
      </c>
      <c r="C10" s="2" t="s">
        <v>35</v>
      </c>
      <c r="D10" s="2" t="s">
        <v>36</v>
      </c>
      <c r="E10" s="3">
        <v>12</v>
      </c>
      <c r="F10" s="3">
        <v>12</v>
      </c>
      <c r="G10" s="3">
        <v>0</v>
      </c>
      <c r="H10" s="3">
        <v>0</v>
      </c>
      <c r="I10" s="3">
        <v>0</v>
      </c>
      <c r="J10" s="3">
        <f>E10+F10+G10-H10-I10</f>
      </c>
      <c r="K10" s="3">
        <v>0</v>
      </c>
      <c r="L10" s="4">
        <f>0-J10</f>
      </c>
      <c r="M10" s="3">
        <v>26.82</v>
      </c>
      <c r="N10" s="4">
        <f>L10*M10</f>
      </c>
      <c r="O10" s="2" t="s">
        <v>28</v>
      </c>
    </row>
    <row r="11" spans="1:15" x14ac:dyDescent="0.25">
      <c r="A11" s="5" t="s">
        <v>15</v>
      </c>
      <c r="B11" s="5" t="s">
        <v>16</v>
      </c>
      <c r="C11" s="5" t="s">
        <v>37</v>
      </c>
      <c r="D11" s="5" t="s">
        <v>38</v>
      </c>
      <c r="E11" s="4">
        <v>13</v>
      </c>
      <c r="F11" s="4">
        <v>36</v>
      </c>
      <c r="G11" s="4">
        <v>0</v>
      </c>
      <c r="H11" s="4">
        <v>0</v>
      </c>
      <c r="I11" s="4">
        <v>23</v>
      </c>
      <c r="J11" s="4">
        <f>E11+F11+G11-H11-I11</f>
      </c>
      <c r="K11" s="4">
        <v>0</v>
      </c>
      <c r="L11" s="4">
        <f>0-J11</f>
      </c>
      <c r="M11" s="4">
        <v>26.82</v>
      </c>
      <c r="N11" s="4">
        <f>L11*M11</f>
      </c>
      <c r="O11" s="5" t="s">
        <v>28</v>
      </c>
    </row>
    <row r="12" spans="1:15" x14ac:dyDescent="0.25">
      <c r="A12" s="2" t="s">
        <v>15</v>
      </c>
      <c r="B12" s="2" t="s">
        <v>16</v>
      </c>
      <c r="C12" s="2" t="s">
        <v>39</v>
      </c>
      <c r="D12" s="2" t="s">
        <v>40</v>
      </c>
      <c r="E12" s="3">
        <v>-123</v>
      </c>
      <c r="F12" s="3">
        <v>840</v>
      </c>
      <c r="G12" s="3">
        <v>0</v>
      </c>
      <c r="H12" s="3">
        <v>0</v>
      </c>
      <c r="I12" s="3">
        <v>963</v>
      </c>
      <c r="J12" s="3">
        <f>E12+F12+G12-H12-I12</f>
      </c>
      <c r="K12" s="3">
        <v>121</v>
      </c>
      <c r="L12" s="4">
        <f>K12-J12</f>
      </c>
      <c r="M12" s="3">
        <v>26.82</v>
      </c>
      <c r="N12" s="4">
        <f>L12*M12</f>
      </c>
      <c r="O12" s="2" t="s">
        <v>19</v>
      </c>
    </row>
    <row r="13" spans="1:15" x14ac:dyDescent="0.25">
      <c r="A13" s="5" t="s">
        <v>15</v>
      </c>
      <c r="B13" s="5" t="s">
        <v>16</v>
      </c>
      <c r="C13" s="5" t="s">
        <v>41</v>
      </c>
      <c r="D13" s="5" t="s">
        <v>42</v>
      </c>
      <c r="E13" s="4">
        <v>29</v>
      </c>
      <c r="F13" s="4">
        <v>72</v>
      </c>
      <c r="G13" s="4">
        <v>0</v>
      </c>
      <c r="H13" s="4">
        <v>0</v>
      </c>
      <c r="I13" s="4">
        <v>43</v>
      </c>
      <c r="J13" s="4">
        <f>E13+F13+G13-H13-I13</f>
      </c>
      <c r="K13" s="4">
        <v>77</v>
      </c>
      <c r="L13" s="4">
        <f>K13-J13</f>
      </c>
      <c r="M13" s="4">
        <v>26.82</v>
      </c>
      <c r="N13" s="4">
        <f>L13*M13</f>
      </c>
      <c r="O13" s="5" t="s">
        <v>19</v>
      </c>
    </row>
    <row r="14" spans="1:15" x14ac:dyDescent="0.25">
      <c r="A14" s="2" t="s">
        <v>15</v>
      </c>
      <c r="B14" s="2" t="s">
        <v>16</v>
      </c>
      <c r="C14" s="2" t="s">
        <v>43</v>
      </c>
      <c r="D14" s="2" t="s">
        <v>44</v>
      </c>
      <c r="E14" s="3">
        <v>16</v>
      </c>
      <c r="F14" s="3">
        <v>16</v>
      </c>
      <c r="G14" s="3">
        <v>0</v>
      </c>
      <c r="H14" s="3">
        <v>0</v>
      </c>
      <c r="I14" s="3">
        <v>0</v>
      </c>
      <c r="J14" s="3">
        <f>E14+F14+G14-H14-I14</f>
      </c>
      <c r="K14" s="3">
        <v>0</v>
      </c>
      <c r="L14" s="4">
        <f>0-J14</f>
      </c>
      <c r="M14" s="3">
        <v>29.29</v>
      </c>
      <c r="N14" s="4">
        <f>L14*M14</f>
      </c>
      <c r="O14" s="2" t="s">
        <v>28</v>
      </c>
    </row>
    <row r="15" spans="1:15" x14ac:dyDescent="0.25">
      <c r="A15" s="5" t="s">
        <v>15</v>
      </c>
      <c r="B15" s="5" t="s">
        <v>16</v>
      </c>
      <c r="C15" s="5" t="s">
        <v>45</v>
      </c>
      <c r="D15" s="5" t="s">
        <v>46</v>
      </c>
      <c r="E15" s="4">
        <v>2</v>
      </c>
      <c r="F15" s="4">
        <v>2</v>
      </c>
      <c r="G15" s="4">
        <v>0</v>
      </c>
      <c r="H15" s="4">
        <v>0</v>
      </c>
      <c r="I15" s="4">
        <v>0</v>
      </c>
      <c r="J15" s="4">
        <f>E15+F15+G15-H15-I15</f>
      </c>
      <c r="K15" s="4">
        <v>0</v>
      </c>
      <c r="L15" s="4">
        <f>0-J15</f>
      </c>
      <c r="M15" s="4">
        <v>0</v>
      </c>
      <c r="N15" s="4">
        <f>L15*M15</f>
      </c>
      <c r="O15" s="5" t="s">
        <v>28</v>
      </c>
    </row>
    <row r="16" spans="1:15" x14ac:dyDescent="0.25">
      <c r="A16" s="2" t="s">
        <v>15</v>
      </c>
      <c r="B16" s="2" t="s">
        <v>16</v>
      </c>
      <c r="C16" s="2" t="s">
        <v>47</v>
      </c>
      <c r="D16" s="2" t="s">
        <v>48</v>
      </c>
      <c r="E16" s="3">
        <v>133.69999999999993</v>
      </c>
      <c r="F16" s="3">
        <v>828</v>
      </c>
      <c r="G16" s="3">
        <v>0</v>
      </c>
      <c r="H16" s="3">
        <v>0</v>
      </c>
      <c r="I16" s="3">
        <v>694.3000000000001</v>
      </c>
      <c r="J16" s="3">
        <f>E16+F16+G16-H16-I16</f>
      </c>
      <c r="K16" s="3">
        <v>21.5</v>
      </c>
      <c r="L16" s="4">
        <f>K16-J16</f>
      </c>
      <c r="M16" s="3">
        <v>300</v>
      </c>
      <c r="N16" s="4">
        <f>L16*M16</f>
      </c>
      <c r="O16" s="2" t="s">
        <v>19</v>
      </c>
    </row>
    <row r="17" spans="1:15" x14ac:dyDescent="0.25">
      <c r="A17" s="5" t="s">
        <v>15</v>
      </c>
      <c r="B17" s="5" t="s">
        <v>16</v>
      </c>
      <c r="C17" s="5" t="s">
        <v>49</v>
      </c>
      <c r="D17" s="5" t="s">
        <v>50</v>
      </c>
      <c r="E17" s="4">
        <v>1</v>
      </c>
      <c r="F17" s="4">
        <v>1</v>
      </c>
      <c r="G17" s="4">
        <v>0</v>
      </c>
      <c r="H17" s="4">
        <v>0</v>
      </c>
      <c r="I17" s="4">
        <v>0</v>
      </c>
      <c r="J17" s="4">
        <f>E17+F17+G17-H17-I17</f>
      </c>
      <c r="K17" s="4">
        <v>0</v>
      </c>
      <c r="L17" s="4">
        <f>0-J17</f>
      </c>
      <c r="M17" s="4">
        <v>1648</v>
      </c>
      <c r="N17" s="4">
        <f>L17*M17</f>
      </c>
      <c r="O17" s="5" t="s">
        <v>28</v>
      </c>
    </row>
    <row r="18" spans="1:15" x14ac:dyDescent="0.25">
      <c r="A18" s="2" t="s">
        <v>15</v>
      </c>
      <c r="B18" s="2" t="s">
        <v>16</v>
      </c>
      <c r="C18" s="2" t="s">
        <v>51</v>
      </c>
      <c r="D18" s="2" t="s">
        <v>52</v>
      </c>
      <c r="E18" s="3">
        <v>34.900000000001455</v>
      </c>
      <c r="F18" s="3">
        <v>35</v>
      </c>
      <c r="G18" s="3">
        <v>0</v>
      </c>
      <c r="H18" s="3">
        <v>0</v>
      </c>
      <c r="I18" s="3">
        <v>40320.1</v>
      </c>
      <c r="J18" s="3">
        <f>E18+F18+G18-H18-I18</f>
      </c>
      <c r="K18" s="3">
        <v>0</v>
      </c>
      <c r="L18" s="4">
        <f>0-J18</f>
      </c>
      <c r="M18" s="3">
        <v>0</v>
      </c>
      <c r="N18" s="4">
        <f>L18*M18</f>
      </c>
      <c r="O18" s="2" t="s">
        <v>28</v>
      </c>
    </row>
    <row r="19" spans="1:15" x14ac:dyDescent="0.25">
      <c r="A19" s="5" t="s">
        <v>15</v>
      </c>
      <c r="B19" s="5" t="s">
        <v>16</v>
      </c>
      <c r="C19" s="5" t="s">
        <v>53</v>
      </c>
      <c r="D19" s="5" t="s">
        <v>54</v>
      </c>
      <c r="E19" s="4">
        <v>-250</v>
      </c>
      <c r="F19" s="4">
        <v>552</v>
      </c>
      <c r="G19" s="4">
        <v>0</v>
      </c>
      <c r="H19" s="4">
        <v>0</v>
      </c>
      <c r="I19" s="4">
        <v>802</v>
      </c>
      <c r="J19" s="4">
        <f>E19+F19+G19-H19-I19</f>
      </c>
      <c r="K19" s="4">
        <v>214</v>
      </c>
      <c r="L19" s="4">
        <f>K19-J19</f>
      </c>
      <c r="M19" s="4">
        <v>7.18</v>
      </c>
      <c r="N19" s="4">
        <f>L19*M19</f>
      </c>
      <c r="O19" s="5" t="s">
        <v>19</v>
      </c>
    </row>
    <row r="20" spans="1:15" x14ac:dyDescent="0.25">
      <c r="A20" s="2" t="s">
        <v>15</v>
      </c>
      <c r="B20" s="2" t="s">
        <v>16</v>
      </c>
      <c r="C20" s="2" t="s">
        <v>55</v>
      </c>
      <c r="D20" s="2" t="s">
        <v>56</v>
      </c>
      <c r="E20" s="3">
        <v>-3110</v>
      </c>
      <c r="F20" s="3">
        <v>2640</v>
      </c>
      <c r="G20" s="3">
        <v>0</v>
      </c>
      <c r="H20" s="3">
        <v>0</v>
      </c>
      <c r="I20" s="3">
        <v>5750</v>
      </c>
      <c r="J20" s="3">
        <f>E20+F20+G20-H20-I20</f>
      </c>
      <c r="K20" s="3">
        <v>0</v>
      </c>
      <c r="L20" s="4">
        <f>0-J20</f>
      </c>
      <c r="M20" s="3">
        <v>4.42</v>
      </c>
      <c r="N20" s="4">
        <f>L20*M20</f>
      </c>
      <c r="O20" s="2" t="s">
        <v>28</v>
      </c>
    </row>
    <row r="21" spans="1:15" x14ac:dyDescent="0.25">
      <c r="A21" s="5" t="s">
        <v>15</v>
      </c>
      <c r="B21" s="5" t="s">
        <v>16</v>
      </c>
      <c r="C21" s="5" t="s">
        <v>57</v>
      </c>
      <c r="D21" s="5" t="s">
        <v>58</v>
      </c>
      <c r="E21" s="4">
        <v>8</v>
      </c>
      <c r="F21" s="4">
        <v>8</v>
      </c>
      <c r="G21" s="4">
        <v>0</v>
      </c>
      <c r="H21" s="4">
        <v>0</v>
      </c>
      <c r="I21" s="4">
        <v>0</v>
      </c>
      <c r="J21" s="4">
        <f>E21+F21+G21-H21-I21</f>
      </c>
      <c r="K21" s="4">
        <v>5</v>
      </c>
      <c r="L21" s="4">
        <f>K21-J21</f>
      </c>
      <c r="M21" s="4">
        <v>39</v>
      </c>
      <c r="N21" s="4">
        <f>L21*M21</f>
      </c>
      <c r="O21" s="5" t="s">
        <v>19</v>
      </c>
    </row>
    <row r="22" spans="1:15" x14ac:dyDescent="0.25">
      <c r="A22" s="2" t="s">
        <v>15</v>
      </c>
      <c r="B22" s="2" t="s">
        <v>16</v>
      </c>
      <c r="C22" s="2" t="s">
        <v>59</v>
      </c>
      <c r="D22" s="2" t="s">
        <v>60</v>
      </c>
      <c r="E22" s="3">
        <v>-37</v>
      </c>
      <c r="F22" s="3">
        <v>48</v>
      </c>
      <c r="G22" s="3">
        <v>0</v>
      </c>
      <c r="H22" s="3">
        <v>0</v>
      </c>
      <c r="I22" s="3">
        <v>85</v>
      </c>
      <c r="J22" s="3">
        <f>E22+F22+G22-H22-I22</f>
      </c>
      <c r="K22" s="3">
        <v>27</v>
      </c>
      <c r="L22" s="4">
        <f>K22-J22</f>
      </c>
      <c r="M22" s="3">
        <v>26.82</v>
      </c>
      <c r="N22" s="4">
        <f>L22*M22</f>
      </c>
      <c r="O22" s="2" t="s">
        <v>19</v>
      </c>
    </row>
    <row r="23" spans="1:15" x14ac:dyDescent="0.25">
      <c r="A23" s="5" t="s">
        <v>15</v>
      </c>
      <c r="B23" s="5" t="s">
        <v>16</v>
      </c>
      <c r="C23" s="5" t="s">
        <v>61</v>
      </c>
      <c r="D23" s="5" t="s">
        <v>62</v>
      </c>
      <c r="E23" s="4">
        <v>-576.95</v>
      </c>
      <c r="F23" s="4">
        <v>48</v>
      </c>
      <c r="G23" s="4">
        <v>0</v>
      </c>
      <c r="H23" s="4">
        <v>0</v>
      </c>
      <c r="I23" s="4">
        <v>624.95</v>
      </c>
      <c r="J23" s="4">
        <f>E23+F23+G23-H23-I23</f>
      </c>
      <c r="K23" s="4">
        <v>2</v>
      </c>
      <c r="L23" s="4">
        <f>K23-J23</f>
      </c>
      <c r="M23" s="4">
        <v>104.77</v>
      </c>
      <c r="N23" s="4">
        <f>L23*M23</f>
      </c>
      <c r="O23" s="5" t="s">
        <v>19</v>
      </c>
    </row>
    <row r="24" spans="1:15" x14ac:dyDescent="0.25">
      <c r="A24" s="2" t="s">
        <v>15</v>
      </c>
      <c r="B24" s="2" t="s">
        <v>16</v>
      </c>
      <c r="C24" s="2" t="s">
        <v>63</v>
      </c>
      <c r="D24" s="2" t="s">
        <v>64</v>
      </c>
      <c r="E24" s="3">
        <v>42</v>
      </c>
      <c r="F24" s="3">
        <v>156</v>
      </c>
      <c r="G24" s="3">
        <v>0</v>
      </c>
      <c r="H24" s="3">
        <v>0</v>
      </c>
      <c r="I24" s="3">
        <v>114</v>
      </c>
      <c r="J24" s="3">
        <f>E24+F24+G24-H24-I24</f>
      </c>
      <c r="K24" s="3">
        <v>61</v>
      </c>
      <c r="L24" s="4">
        <f>K24-J24</f>
      </c>
      <c r="M24" s="3">
        <v>26.82</v>
      </c>
      <c r="N24" s="4">
        <f>L24*M24</f>
      </c>
      <c r="O24" s="2" t="s">
        <v>19</v>
      </c>
    </row>
    <row r="25" spans="1:15" x14ac:dyDescent="0.25">
      <c r="A25" s="5" t="s">
        <v>15</v>
      </c>
      <c r="B25" s="5" t="s">
        <v>16</v>
      </c>
      <c r="C25" s="5" t="s">
        <v>65</v>
      </c>
      <c r="D25" s="5" t="s">
        <v>66</v>
      </c>
      <c r="E25" s="4">
        <v>36</v>
      </c>
      <c r="F25" s="4">
        <v>36</v>
      </c>
      <c r="G25" s="4">
        <v>0</v>
      </c>
      <c r="H25" s="4">
        <v>0</v>
      </c>
      <c r="I25" s="4">
        <v>0</v>
      </c>
      <c r="J25" s="4">
        <f>E25+F25+G25-H25-I25</f>
      </c>
      <c r="K25" s="4">
        <v>51</v>
      </c>
      <c r="L25" s="4">
        <f>K25-J25</f>
      </c>
      <c r="M25" s="4">
        <v>26.82</v>
      </c>
      <c r="N25" s="4">
        <f>L25*M25</f>
      </c>
      <c r="O25" s="5" t="s">
        <v>19</v>
      </c>
    </row>
    <row r="26" spans="1:15" x14ac:dyDescent="0.25">
      <c r="A26" s="2" t="s">
        <v>15</v>
      </c>
      <c r="B26" s="2" t="s">
        <v>16</v>
      </c>
      <c r="C26" s="2" t="s">
        <v>67</v>
      </c>
      <c r="D26" s="2" t="s">
        <v>68</v>
      </c>
      <c r="E26" s="3">
        <v>204</v>
      </c>
      <c r="F26" s="3">
        <v>204</v>
      </c>
      <c r="G26" s="3">
        <v>0</v>
      </c>
      <c r="H26" s="3">
        <v>0</v>
      </c>
      <c r="I26" s="3">
        <v>0</v>
      </c>
      <c r="J26" s="3">
        <f>E26+F26+G26-H26-I26</f>
      </c>
      <c r="K26" s="3">
        <v>22</v>
      </c>
      <c r="L26" s="4">
        <f>K26-J26</f>
      </c>
      <c r="M26" s="3">
        <v>26.82</v>
      </c>
      <c r="N26" s="4">
        <f>L26*M26</f>
      </c>
      <c r="O26" s="2" t="s">
        <v>19</v>
      </c>
    </row>
    <row r="27" spans="1:15" x14ac:dyDescent="0.25">
      <c r="A27" s="5" t="s">
        <v>15</v>
      </c>
      <c r="B27" s="5" t="s">
        <v>16</v>
      </c>
      <c r="C27" s="5" t="s">
        <v>69</v>
      </c>
      <c r="D27" s="5" t="s">
        <v>70</v>
      </c>
      <c r="E27" s="4">
        <v>-53</v>
      </c>
      <c r="F27" s="4">
        <v>204</v>
      </c>
      <c r="G27" s="4">
        <v>0</v>
      </c>
      <c r="H27" s="4">
        <v>0</v>
      </c>
      <c r="I27" s="4">
        <v>257</v>
      </c>
      <c r="J27" s="4">
        <f>E27+F27+G27-H27-I27</f>
      </c>
      <c r="K27" s="4">
        <v>17</v>
      </c>
      <c r="L27" s="4">
        <f>K27-J27</f>
      </c>
      <c r="M27" s="4">
        <v>26.82</v>
      </c>
      <c r="N27" s="4">
        <f>L27*M27</f>
      </c>
      <c r="O27" s="5" t="s">
        <v>19</v>
      </c>
    </row>
    <row r="28" spans="1:15" x14ac:dyDescent="0.25">
      <c r="A28" s="2" t="s">
        <v>15</v>
      </c>
      <c r="B28" s="2" t="s">
        <v>16</v>
      </c>
      <c r="C28" s="2" t="s">
        <v>71</v>
      </c>
      <c r="D28" s="2" t="s">
        <v>72</v>
      </c>
      <c r="E28" s="3">
        <v>84.55999999999995</v>
      </c>
      <c r="F28" s="3">
        <v>640</v>
      </c>
      <c r="G28" s="3">
        <v>0</v>
      </c>
      <c r="H28" s="3">
        <v>0</v>
      </c>
      <c r="I28" s="3">
        <v>555.44</v>
      </c>
      <c r="J28" s="3">
        <f>E28+F28+G28-H28-I28</f>
      </c>
      <c r="K28" s="3">
        <v>46</v>
      </c>
      <c r="L28" s="4">
        <f>K28-J28</f>
      </c>
      <c r="M28" s="3">
        <v>139</v>
      </c>
      <c r="N28" s="4">
        <f>L28*M28</f>
      </c>
      <c r="O28" s="2" t="s">
        <v>19</v>
      </c>
    </row>
    <row r="29" spans="1:15" x14ac:dyDescent="0.25">
      <c r="A29" s="5" t="s">
        <v>15</v>
      </c>
      <c r="B29" s="5" t="s">
        <v>16</v>
      </c>
      <c r="C29" s="5" t="s">
        <v>73</v>
      </c>
      <c r="D29" s="5" t="s">
        <v>74</v>
      </c>
      <c r="E29" s="4">
        <v>-95.16000000000003</v>
      </c>
      <c r="F29" s="4">
        <v>252</v>
      </c>
      <c r="G29" s="4">
        <v>0</v>
      </c>
      <c r="H29" s="4">
        <v>0</v>
      </c>
      <c r="I29" s="4">
        <v>347.16</v>
      </c>
      <c r="J29" s="4">
        <f>E29+F29+G29-H29-I29</f>
      </c>
      <c r="K29" s="4">
        <v>12</v>
      </c>
      <c r="L29" s="4">
        <f>K29-J29</f>
      </c>
      <c r="M29" s="4">
        <v>329</v>
      </c>
      <c r="N29" s="4">
        <f>L29*M29</f>
      </c>
      <c r="O29" s="5" t="s">
        <v>19</v>
      </c>
    </row>
    <row r="30" spans="1:15" x14ac:dyDescent="0.25">
      <c r="A30" s="2" t="s">
        <v>15</v>
      </c>
      <c r="B30" s="2" t="s">
        <v>16</v>
      </c>
      <c r="C30" s="2" t="s">
        <v>75</v>
      </c>
      <c r="D30" s="2" t="s">
        <v>76</v>
      </c>
      <c r="E30" s="3">
        <v>674</v>
      </c>
      <c r="F30" s="3">
        <v>1348</v>
      </c>
      <c r="G30" s="3">
        <v>337</v>
      </c>
      <c r="H30" s="3">
        <v>0</v>
      </c>
      <c r="I30" s="3">
        <v>0</v>
      </c>
      <c r="J30" s="3">
        <f>E30+F30+G30-H30-I30</f>
      </c>
      <c r="K30" s="3">
        <v>0</v>
      </c>
      <c r="L30" s="4">
        <f>0-J30</f>
      </c>
      <c r="M30" s="3">
        <v>0</v>
      </c>
      <c r="N30" s="4">
        <f>L30*M30</f>
      </c>
      <c r="O30" s="2" t="s">
        <v>28</v>
      </c>
    </row>
    <row r="31" spans="1:15" x14ac:dyDescent="0.25">
      <c r="A31" s="5" t="s">
        <v>15</v>
      </c>
      <c r="B31" s="5" t="s">
        <v>16</v>
      </c>
      <c r="C31" s="5" t="s">
        <v>77</v>
      </c>
      <c r="D31" s="5" t="s">
        <v>78</v>
      </c>
      <c r="E31" s="4">
        <v>109</v>
      </c>
      <c r="F31" s="4">
        <v>109</v>
      </c>
      <c r="G31" s="4">
        <v>0</v>
      </c>
      <c r="H31" s="4">
        <v>0</v>
      </c>
      <c r="I31" s="4">
        <v>0</v>
      </c>
      <c r="J31" s="4">
        <f>E31+F31+G31-H31-I31</f>
      </c>
      <c r="K31" s="4">
        <v>18</v>
      </c>
      <c r="L31" s="4">
        <f>K31-J31</f>
      </c>
      <c r="M31" s="4">
        <v>313.93</v>
      </c>
      <c r="N31" s="4">
        <f>L31*M31</f>
      </c>
      <c r="O31" s="5" t="s">
        <v>19</v>
      </c>
    </row>
    <row r="32" spans="1:15" x14ac:dyDescent="0.25">
      <c r="A32" s="2" t="s">
        <v>15</v>
      </c>
      <c r="B32" s="2" t="s">
        <v>16</v>
      </c>
      <c r="C32" s="2" t="s">
        <v>79</v>
      </c>
      <c r="D32" s="2" t="s">
        <v>80</v>
      </c>
      <c r="E32" s="3">
        <v>17</v>
      </c>
      <c r="F32" s="3">
        <v>17</v>
      </c>
      <c r="G32" s="3">
        <v>0</v>
      </c>
      <c r="H32" s="3">
        <v>0</v>
      </c>
      <c r="I32" s="3">
        <v>0</v>
      </c>
      <c r="J32" s="3">
        <f>E32+F32+G32-H32-I32</f>
      </c>
      <c r="K32" s="3">
        <v>5</v>
      </c>
      <c r="L32" s="4">
        <f>K32-J32</f>
      </c>
      <c r="M32" s="3">
        <v>430</v>
      </c>
      <c r="N32" s="4">
        <f>L32*M32</f>
      </c>
      <c r="O32" s="2" t="s">
        <v>19</v>
      </c>
    </row>
    <row r="33" spans="1:15" x14ac:dyDescent="0.25">
      <c r="A33" s="5" t="s">
        <v>15</v>
      </c>
      <c r="B33" s="5" t="s">
        <v>16</v>
      </c>
      <c r="C33" s="5" t="s">
        <v>81</v>
      </c>
      <c r="D33" s="5" t="s">
        <v>82</v>
      </c>
      <c r="E33" s="4">
        <v>17</v>
      </c>
      <c r="F33" s="4">
        <v>17</v>
      </c>
      <c r="G33" s="4">
        <v>0</v>
      </c>
      <c r="H33" s="4">
        <v>0</v>
      </c>
      <c r="I33" s="4">
        <v>0</v>
      </c>
      <c r="J33" s="4">
        <f>E33+F33+G33-H33-I33</f>
      </c>
      <c r="K33" s="4">
        <v>0</v>
      </c>
      <c r="L33" s="4">
        <f>0-J33</f>
      </c>
      <c r="M33" s="4">
        <v>83</v>
      </c>
      <c r="N33" s="4">
        <f>L33*M33</f>
      </c>
      <c r="O33" s="5" t="s">
        <v>28</v>
      </c>
    </row>
    <row r="34" spans="1:15" x14ac:dyDescent="0.25">
      <c r="A34" s="2" t="s">
        <v>15</v>
      </c>
      <c r="B34" s="2" t="s">
        <v>16</v>
      </c>
      <c r="C34" s="2" t="s">
        <v>83</v>
      </c>
      <c r="D34" s="2" t="s">
        <v>84</v>
      </c>
      <c r="E34" s="3">
        <v>1</v>
      </c>
      <c r="F34" s="3">
        <v>1</v>
      </c>
      <c r="G34" s="3">
        <v>0</v>
      </c>
      <c r="H34" s="3">
        <v>0</v>
      </c>
      <c r="I34" s="3">
        <v>0</v>
      </c>
      <c r="J34" s="3">
        <f>E34+F34+G34-H34-I34</f>
      </c>
      <c r="K34" s="3">
        <v>0</v>
      </c>
      <c r="L34" s="4">
        <f>0-J34</f>
      </c>
      <c r="M34" s="3">
        <v>48.9</v>
      </c>
      <c r="N34" s="4">
        <f>L34*M34</f>
      </c>
      <c r="O34" s="2" t="s">
        <v>28</v>
      </c>
    </row>
    <row r="35" spans="1:15" x14ac:dyDescent="0.25">
      <c r="A35" s="5" t="s">
        <v>15</v>
      </c>
      <c r="B35" s="5" t="s">
        <v>16</v>
      </c>
      <c r="C35" s="5" t="s">
        <v>85</v>
      </c>
      <c r="D35" s="5" t="s">
        <v>86</v>
      </c>
      <c r="E35" s="4">
        <v>780</v>
      </c>
      <c r="F35" s="4">
        <v>1560</v>
      </c>
      <c r="G35" s="4">
        <v>390</v>
      </c>
      <c r="H35" s="4">
        <v>0</v>
      </c>
      <c r="I35" s="4">
        <v>0</v>
      </c>
      <c r="J35" s="4">
        <f>E35+F35+G35-H35-I35</f>
      </c>
      <c r="K35" s="4">
        <v>0</v>
      </c>
      <c r="L35" s="4">
        <f>0-J35</f>
      </c>
      <c r="M35" s="4">
        <v>0</v>
      </c>
      <c r="N35" s="4">
        <f>L35*M35</f>
      </c>
      <c r="O35" s="5" t="s">
        <v>28</v>
      </c>
    </row>
    <row r="36" spans="1:15" x14ac:dyDescent="0.25">
      <c r="A36" s="2" t="s">
        <v>15</v>
      </c>
      <c r="B36" s="2" t="s">
        <v>16</v>
      </c>
      <c r="C36" s="2" t="s">
        <v>87</v>
      </c>
      <c r="D36" s="2" t="s">
        <v>88</v>
      </c>
      <c r="E36" s="3">
        <v>120</v>
      </c>
      <c r="F36" s="3">
        <v>240</v>
      </c>
      <c r="G36" s="3">
        <v>60</v>
      </c>
      <c r="H36" s="3">
        <v>0</v>
      </c>
      <c r="I36" s="3">
        <v>0</v>
      </c>
      <c r="J36" s="3">
        <f>E36+F36+G36-H36-I36</f>
      </c>
      <c r="K36" s="3">
        <v>0</v>
      </c>
      <c r="L36" s="4">
        <f>0-J36</f>
      </c>
      <c r="M36" s="3">
        <v>0</v>
      </c>
      <c r="N36" s="4">
        <f>L36*M36</f>
      </c>
      <c r="O36" s="2" t="s">
        <v>28</v>
      </c>
    </row>
    <row r="37" spans="1:15" x14ac:dyDescent="0.25">
      <c r="A37" s="5" t="s">
        <v>15</v>
      </c>
      <c r="B37" s="5" t="s">
        <v>16</v>
      </c>
      <c r="C37" s="5" t="s">
        <v>89</v>
      </c>
      <c r="D37" s="5" t="s">
        <v>90</v>
      </c>
      <c r="E37" s="4">
        <v>24</v>
      </c>
      <c r="F37" s="4">
        <v>24</v>
      </c>
      <c r="G37" s="4">
        <v>0</v>
      </c>
      <c r="H37" s="4">
        <v>0</v>
      </c>
      <c r="I37" s="4">
        <v>0</v>
      </c>
      <c r="J37" s="4">
        <f>E37+F37+G37-H37-I37</f>
      </c>
      <c r="K37" s="4">
        <v>39</v>
      </c>
      <c r="L37" s="4">
        <f>K37-J37</f>
      </c>
      <c r="M37" s="4">
        <v>56</v>
      </c>
      <c r="N37" s="4">
        <f>L37*M37</f>
      </c>
      <c r="O37" s="5" t="s">
        <v>19</v>
      </c>
    </row>
    <row r="38" spans="1:15" x14ac:dyDescent="0.25">
      <c r="A38" s="2" t="s">
        <v>15</v>
      </c>
      <c r="B38" s="2" t="s">
        <v>16</v>
      </c>
      <c r="C38" s="2" t="s">
        <v>91</v>
      </c>
      <c r="D38" s="2" t="s">
        <v>92</v>
      </c>
      <c r="E38" s="3">
        <v>27</v>
      </c>
      <c r="F38" s="3">
        <v>27</v>
      </c>
      <c r="G38" s="3">
        <v>0</v>
      </c>
      <c r="H38" s="3">
        <v>0</v>
      </c>
      <c r="I38" s="3">
        <v>0</v>
      </c>
      <c r="J38" s="3">
        <f>E38+F38+G38-H38-I38</f>
      </c>
      <c r="K38" s="3">
        <v>2</v>
      </c>
      <c r="L38" s="4">
        <f>K38-J38</f>
      </c>
      <c r="M38" s="3">
        <v>98</v>
      </c>
      <c r="N38" s="4">
        <f>L38*M38</f>
      </c>
      <c r="O38" s="2" t="s">
        <v>19</v>
      </c>
    </row>
    <row r="39" spans="1:15" x14ac:dyDescent="0.25">
      <c r="A39" s="5" t="s">
        <v>15</v>
      </c>
      <c r="B39" s="5" t="s">
        <v>16</v>
      </c>
      <c r="C39" s="5" t="s">
        <v>93</v>
      </c>
      <c r="D39" s="5" t="s">
        <v>94</v>
      </c>
      <c r="E39" s="4">
        <v>20</v>
      </c>
      <c r="F39" s="4">
        <v>20</v>
      </c>
      <c r="G39" s="4">
        <v>0</v>
      </c>
      <c r="H39" s="4">
        <v>0</v>
      </c>
      <c r="I39" s="4">
        <v>0</v>
      </c>
      <c r="J39" s="4">
        <f>E39+F39+G39-H39-I39</f>
      </c>
      <c r="K39" s="4">
        <v>0</v>
      </c>
      <c r="L39" s="4">
        <f>0-J39</f>
      </c>
      <c r="M39" s="4">
        <v>0</v>
      </c>
      <c r="N39" s="4">
        <f>L39*M39</f>
      </c>
      <c r="O39" s="5" t="s">
        <v>28</v>
      </c>
    </row>
    <row r="40" spans="1:15" x14ac:dyDescent="0.25">
      <c r="A40" s="2" t="s">
        <v>15</v>
      </c>
      <c r="B40" s="2" t="s">
        <v>16</v>
      </c>
      <c r="C40" s="2" t="s">
        <v>95</v>
      </c>
      <c r="D40" s="2" t="s">
        <v>96</v>
      </c>
      <c r="E40" s="3">
        <v>470</v>
      </c>
      <c r="F40" s="3">
        <v>940</v>
      </c>
      <c r="G40" s="3">
        <v>235</v>
      </c>
      <c r="H40" s="3">
        <v>0</v>
      </c>
      <c r="I40" s="3">
        <v>0</v>
      </c>
      <c r="J40" s="3">
        <f>E40+F40+G40-H40-I40</f>
      </c>
      <c r="K40" s="3">
        <v>0</v>
      </c>
      <c r="L40" s="4">
        <f>0-J40</f>
      </c>
      <c r="M40" s="3">
        <v>0</v>
      </c>
      <c r="N40" s="4">
        <f>L40*M40</f>
      </c>
      <c r="O40" s="2" t="s">
        <v>28</v>
      </c>
    </row>
    <row r="41" spans="1:15" x14ac:dyDescent="0.25">
      <c r="A41" s="5" t="s">
        <v>15</v>
      </c>
      <c r="B41" s="5" t="s">
        <v>16</v>
      </c>
      <c r="C41" s="5" t="s">
        <v>97</v>
      </c>
      <c r="D41" s="5" t="s">
        <v>98</v>
      </c>
      <c r="E41" s="4">
        <v>6</v>
      </c>
      <c r="F41" s="4">
        <v>6</v>
      </c>
      <c r="G41" s="4">
        <v>0</v>
      </c>
      <c r="H41" s="4">
        <v>0</v>
      </c>
      <c r="I41" s="4">
        <v>0</v>
      </c>
      <c r="J41" s="4">
        <f>E41+F41+G41-H41-I41</f>
      </c>
      <c r="K41" s="4">
        <v>0</v>
      </c>
      <c r="L41" s="4">
        <f>0-J41</f>
      </c>
      <c r="M41" s="4">
        <v>26</v>
      </c>
      <c r="N41" s="4">
        <f>L41*M41</f>
      </c>
      <c r="O41" s="5" t="s">
        <v>28</v>
      </c>
    </row>
    <row r="42" spans="1:15" x14ac:dyDescent="0.25">
      <c r="A42" s="2" t="s">
        <v>15</v>
      </c>
      <c r="B42" s="2" t="s">
        <v>16</v>
      </c>
      <c r="C42" s="2" t="s">
        <v>99</v>
      </c>
      <c r="D42" s="2" t="s">
        <v>100</v>
      </c>
      <c r="E42" s="3">
        <v>64</v>
      </c>
      <c r="F42" s="3">
        <v>128</v>
      </c>
      <c r="G42" s="3">
        <v>32</v>
      </c>
      <c r="H42" s="3">
        <v>0</v>
      </c>
      <c r="I42" s="3">
        <v>0</v>
      </c>
      <c r="J42" s="3">
        <f>E42+F42+G42-H42-I42</f>
      </c>
      <c r="K42" s="3">
        <v>0</v>
      </c>
      <c r="L42" s="4">
        <f>0-J42</f>
      </c>
      <c r="M42" s="3">
        <v>0</v>
      </c>
      <c r="N42" s="4">
        <f>L42*M42</f>
      </c>
      <c r="O42" s="2" t="s">
        <v>28</v>
      </c>
    </row>
    <row r="43" spans="1:15" x14ac:dyDescent="0.25">
      <c r="A43" s="5" t="s">
        <v>15</v>
      </c>
      <c r="B43" s="5" t="s">
        <v>16</v>
      </c>
      <c r="C43" s="5" t="s">
        <v>101</v>
      </c>
      <c r="D43" s="5" t="s">
        <v>102</v>
      </c>
      <c r="E43" s="4">
        <v>2</v>
      </c>
      <c r="F43" s="4">
        <v>2</v>
      </c>
      <c r="G43" s="4">
        <v>0</v>
      </c>
      <c r="H43" s="4">
        <v>0</v>
      </c>
      <c r="I43" s="4">
        <v>0</v>
      </c>
      <c r="J43" s="4">
        <f>E43+F43+G43-H43-I43</f>
      </c>
      <c r="K43" s="4">
        <v>0</v>
      </c>
      <c r="L43" s="4">
        <f>0-J43</f>
      </c>
      <c r="M43" s="4">
        <v>148</v>
      </c>
      <c r="N43" s="4">
        <f>L43*M43</f>
      </c>
      <c r="O43" s="5" t="s">
        <v>28</v>
      </c>
    </row>
    <row r="44" spans="1:15" x14ac:dyDescent="0.25">
      <c r="A44" s="2" t="s">
        <v>15</v>
      </c>
      <c r="B44" s="2" t="s">
        <v>16</v>
      </c>
      <c r="C44" s="2" t="s">
        <v>103</v>
      </c>
      <c r="D44" s="2" t="s">
        <v>104</v>
      </c>
      <c r="E44" s="3">
        <v>2</v>
      </c>
      <c r="F44" s="3">
        <v>2</v>
      </c>
      <c r="G44" s="3">
        <v>0</v>
      </c>
      <c r="H44" s="3">
        <v>0</v>
      </c>
      <c r="I44" s="3">
        <v>0</v>
      </c>
      <c r="J44" s="3">
        <f>E44+F44+G44-H44-I44</f>
      </c>
      <c r="K44" s="3">
        <v>11</v>
      </c>
      <c r="L44" s="4">
        <f>K44-J44</f>
      </c>
      <c r="M44" s="3">
        <v>39.5</v>
      </c>
      <c r="N44" s="4">
        <f>L44*M44</f>
      </c>
      <c r="O44" s="2" t="s">
        <v>19</v>
      </c>
    </row>
    <row r="45" spans="1:15" x14ac:dyDescent="0.25">
      <c r="A45" s="5" t="s">
        <v>15</v>
      </c>
      <c r="B45" s="5" t="s">
        <v>16</v>
      </c>
      <c r="C45" s="5" t="s">
        <v>105</v>
      </c>
      <c r="D45" s="5" t="s">
        <v>106</v>
      </c>
      <c r="E45" s="4">
        <v>12</v>
      </c>
      <c r="F45" s="4">
        <v>12</v>
      </c>
      <c r="G45" s="4">
        <v>0</v>
      </c>
      <c r="H45" s="4">
        <v>0</v>
      </c>
      <c r="I45" s="4">
        <v>0</v>
      </c>
      <c r="J45" s="4">
        <f>E45+F45+G45-H45-I45</f>
      </c>
      <c r="K45" s="4">
        <v>0</v>
      </c>
      <c r="L45" s="4">
        <f>0-J45</f>
      </c>
      <c r="M45" s="4">
        <v>79</v>
      </c>
      <c r="N45" s="4">
        <f>L45*M45</f>
      </c>
      <c r="O45" s="5" t="s">
        <v>28</v>
      </c>
    </row>
    <row r="46" spans="1:15" x14ac:dyDescent="0.25">
      <c r="A46" s="2" t="s">
        <v>15</v>
      </c>
      <c r="B46" s="2" t="s">
        <v>16</v>
      </c>
      <c r="C46" s="2" t="s">
        <v>107</v>
      </c>
      <c r="D46" s="2" t="s">
        <v>108</v>
      </c>
      <c r="E46" s="3">
        <v>4</v>
      </c>
      <c r="F46" s="3">
        <v>4</v>
      </c>
      <c r="G46" s="3">
        <v>0</v>
      </c>
      <c r="H46" s="3">
        <v>0</v>
      </c>
      <c r="I46" s="3">
        <v>0</v>
      </c>
      <c r="J46" s="3">
        <f>E46+F46+G46-H46-I46</f>
      </c>
      <c r="K46" s="3">
        <v>0</v>
      </c>
      <c r="L46" s="4">
        <f>0-J46</f>
      </c>
      <c r="M46" s="3">
        <v>694.51</v>
      </c>
      <c r="N46" s="4">
        <f>L46*M46</f>
      </c>
      <c r="O46" s="2" t="s">
        <v>28</v>
      </c>
    </row>
    <row r="47" spans="1:15" x14ac:dyDescent="0.25">
      <c r="A47" s="5" t="s">
        <v>15</v>
      </c>
      <c r="B47" s="5" t="s">
        <v>16</v>
      </c>
      <c r="C47" s="5" t="s">
        <v>109</v>
      </c>
      <c r="D47" s="5" t="s">
        <v>110</v>
      </c>
      <c r="E47" s="4">
        <v>-161.85500000000002</v>
      </c>
      <c r="F47" s="4">
        <v>8</v>
      </c>
      <c r="G47" s="4">
        <v>0</v>
      </c>
      <c r="H47" s="4">
        <v>0</v>
      </c>
      <c r="I47" s="4">
        <v>3361.855</v>
      </c>
      <c r="J47" s="4">
        <f>E47+F47+G47-H47-I47</f>
      </c>
      <c r="K47" s="4">
        <v>8.3</v>
      </c>
      <c r="L47" s="4">
        <f>K47-J47</f>
      </c>
      <c r="M47" s="4">
        <v>2055.67</v>
      </c>
      <c r="N47" s="4">
        <f>L47*M47</f>
      </c>
      <c r="O47" s="5" t="s">
        <v>19</v>
      </c>
    </row>
    <row r="48" spans="1:15" x14ac:dyDescent="0.25">
      <c r="A48" s="2" t="s">
        <v>15</v>
      </c>
      <c r="B48" s="2" t="s">
        <v>16</v>
      </c>
      <c r="C48" s="2" t="s">
        <v>111</v>
      </c>
      <c r="D48" s="2" t="s">
        <v>112</v>
      </c>
      <c r="E48" s="3">
        <v>13</v>
      </c>
      <c r="F48" s="3">
        <v>13</v>
      </c>
      <c r="G48" s="3">
        <v>0</v>
      </c>
      <c r="H48" s="3">
        <v>0</v>
      </c>
      <c r="I48" s="3">
        <v>0</v>
      </c>
      <c r="J48" s="3">
        <f>E48+F48+G48-H48-I48</f>
      </c>
      <c r="K48" s="3">
        <v>5</v>
      </c>
      <c r="L48" s="4">
        <f>K48-J48</f>
      </c>
      <c r="M48" s="3">
        <v>546.85</v>
      </c>
      <c r="N48" s="4">
        <f>L48*M48</f>
      </c>
      <c r="O48" s="2" t="s">
        <v>19</v>
      </c>
    </row>
    <row r="49" spans="1:15" x14ac:dyDescent="0.25">
      <c r="A49" s="5" t="s">
        <v>15</v>
      </c>
      <c r="B49" s="5" t="s">
        <v>16</v>
      </c>
      <c r="C49" s="5" t="s">
        <v>113</v>
      </c>
      <c r="D49" s="5" t="s">
        <v>114</v>
      </c>
      <c r="E49" s="4">
        <v>1</v>
      </c>
      <c r="F49" s="4">
        <v>1</v>
      </c>
      <c r="G49" s="4">
        <v>0</v>
      </c>
      <c r="H49" s="4">
        <v>0</v>
      </c>
      <c r="I49" s="4">
        <v>0</v>
      </c>
      <c r="J49" s="4">
        <f>E49+F49+G49-H49-I49</f>
      </c>
      <c r="K49" s="4">
        <v>0</v>
      </c>
      <c r="L49" s="4">
        <f>0-J49</f>
      </c>
      <c r="M49" s="4">
        <v>964.46</v>
      </c>
      <c r="N49" s="4">
        <f>L49*M49</f>
      </c>
      <c r="O49" s="5" t="s">
        <v>28</v>
      </c>
    </row>
    <row r="50" spans="1:15" x14ac:dyDescent="0.25">
      <c r="A50" s="2" t="s">
        <v>15</v>
      </c>
      <c r="B50" s="2" t="s">
        <v>16</v>
      </c>
      <c r="C50" s="2" t="s">
        <v>115</v>
      </c>
      <c r="D50" s="2" t="s">
        <v>116</v>
      </c>
      <c r="E50" s="3">
        <v>14</v>
      </c>
      <c r="F50" s="3">
        <v>14</v>
      </c>
      <c r="G50" s="3">
        <v>0</v>
      </c>
      <c r="H50" s="3">
        <v>0</v>
      </c>
      <c r="I50" s="3">
        <v>0</v>
      </c>
      <c r="J50" s="3">
        <f>E50+F50+G50-H50-I50</f>
      </c>
      <c r="K50" s="3">
        <v>0</v>
      </c>
      <c r="L50" s="4">
        <f>0-J50</f>
      </c>
      <c r="M50" s="3">
        <v>456.21</v>
      </c>
      <c r="N50" s="4">
        <f>L50*M50</f>
      </c>
      <c r="O50" s="2" t="s">
        <v>28</v>
      </c>
    </row>
    <row r="51" spans="1:15" x14ac:dyDescent="0.25">
      <c r="A51" s="5" t="s">
        <v>15</v>
      </c>
      <c r="B51" s="5" t="s">
        <v>16</v>
      </c>
      <c r="C51" s="5" t="s">
        <v>117</v>
      </c>
      <c r="D51" s="5" t="s">
        <v>118</v>
      </c>
      <c r="E51" s="4">
        <v>-313</v>
      </c>
      <c r="F51" s="4">
        <v>13</v>
      </c>
      <c r="G51" s="4">
        <v>0</v>
      </c>
      <c r="H51" s="4">
        <v>0</v>
      </c>
      <c r="I51" s="4">
        <v>326</v>
      </c>
      <c r="J51" s="4">
        <f>E51+F51+G51-H51-I51</f>
      </c>
      <c r="K51" s="4">
        <v>98</v>
      </c>
      <c r="L51" s="4">
        <f>K51-J51</f>
      </c>
      <c r="M51" s="4">
        <v>17.1</v>
      </c>
      <c r="N51" s="4">
        <f>L51*M51</f>
      </c>
      <c r="O51" s="5" t="s">
        <v>19</v>
      </c>
    </row>
    <row r="52" spans="1:15" x14ac:dyDescent="0.25">
      <c r="A52" s="2" t="s">
        <v>15</v>
      </c>
      <c r="B52" s="2" t="s">
        <v>16</v>
      </c>
      <c r="C52" s="2" t="s">
        <v>119</v>
      </c>
      <c r="D52" s="2" t="s">
        <v>120</v>
      </c>
      <c r="E52" s="3">
        <v>-47.150000000000034</v>
      </c>
      <c r="F52" s="3">
        <v>300</v>
      </c>
      <c r="G52" s="3">
        <v>0</v>
      </c>
      <c r="H52" s="3">
        <v>0</v>
      </c>
      <c r="I52" s="3">
        <v>347.15000000000003</v>
      </c>
      <c r="J52" s="3">
        <f>E52+F52+G52-H52-I52</f>
      </c>
      <c r="K52" s="3">
        <v>16</v>
      </c>
      <c r="L52" s="4">
        <f>K52-J52</f>
      </c>
      <c r="M52" s="3">
        <v>11.9</v>
      </c>
      <c r="N52" s="4">
        <f>L52*M52</f>
      </c>
      <c r="O52" s="2" t="s">
        <v>19</v>
      </c>
    </row>
    <row r="53" spans="1:15" x14ac:dyDescent="0.25">
      <c r="A53" s="5" t="s">
        <v>15</v>
      </c>
      <c r="B53" s="5" t="s">
        <v>16</v>
      </c>
      <c r="C53" s="5" t="s">
        <v>121</v>
      </c>
      <c r="D53" s="5" t="s">
        <v>122</v>
      </c>
      <c r="E53" s="4">
        <v>1</v>
      </c>
      <c r="F53" s="4">
        <v>1</v>
      </c>
      <c r="G53" s="4">
        <v>0</v>
      </c>
      <c r="H53" s="4">
        <v>0</v>
      </c>
      <c r="I53" s="4">
        <v>0</v>
      </c>
      <c r="J53" s="4">
        <f>E53+F53+G53-H53-I53</f>
      </c>
      <c r="K53" s="4">
        <v>1.3</v>
      </c>
      <c r="L53" s="4">
        <f>K53-J53</f>
      </c>
      <c r="M53" s="4">
        <v>198</v>
      </c>
      <c r="N53" s="4">
        <f>L53*M53</f>
      </c>
      <c r="O53" s="5" t="s">
        <v>19</v>
      </c>
    </row>
    <row r="54" spans="1:15" x14ac:dyDescent="0.25">
      <c r="A54" s="2" t="s">
        <v>15</v>
      </c>
      <c r="B54" s="2" t="s">
        <v>16</v>
      </c>
      <c r="C54" s="2" t="s">
        <v>123</v>
      </c>
      <c r="D54" s="2" t="s">
        <v>124</v>
      </c>
      <c r="E54" s="3">
        <v>20</v>
      </c>
      <c r="F54" s="3">
        <v>20</v>
      </c>
      <c r="G54" s="3">
        <v>0</v>
      </c>
      <c r="H54" s="3">
        <v>0</v>
      </c>
      <c r="I54" s="3">
        <v>0</v>
      </c>
      <c r="J54" s="3">
        <f>E54+F54+G54-H54-I54</f>
      </c>
      <c r="K54" s="3">
        <v>39</v>
      </c>
      <c r="L54" s="4">
        <f>K54-J54</f>
      </c>
      <c r="M54" s="3">
        <v>59</v>
      </c>
      <c r="N54" s="4">
        <f>L54*M54</f>
      </c>
      <c r="O54" s="2" t="s">
        <v>19</v>
      </c>
    </row>
    <row r="55" spans="1:15" x14ac:dyDescent="0.25">
      <c r="A55" s="5" t="s">
        <v>15</v>
      </c>
      <c r="B55" s="5" t="s">
        <v>16</v>
      </c>
      <c r="C55" s="5" t="s">
        <v>125</v>
      </c>
      <c r="D55" s="5" t="s">
        <v>126</v>
      </c>
      <c r="E55" s="4">
        <v>604</v>
      </c>
      <c r="F55" s="4">
        <v>1208</v>
      </c>
      <c r="G55" s="4">
        <v>302</v>
      </c>
      <c r="H55" s="4">
        <v>0</v>
      </c>
      <c r="I55" s="4">
        <v>0</v>
      </c>
      <c r="J55" s="4">
        <f>E55+F55+G55-H55-I55</f>
      </c>
      <c r="K55" s="4">
        <v>0</v>
      </c>
      <c r="L55" s="4">
        <f>0-J55</f>
      </c>
      <c r="M55" s="4">
        <v>0</v>
      </c>
      <c r="N55" s="4">
        <f>L55*M55</f>
      </c>
      <c r="O55" s="5" t="s">
        <v>28</v>
      </c>
    </row>
    <row r="56" spans="1:15" x14ac:dyDescent="0.25">
      <c r="A56" s="2" t="s">
        <v>15</v>
      </c>
      <c r="B56" s="2" t="s">
        <v>16</v>
      </c>
      <c r="C56" s="2" t="s">
        <v>127</v>
      </c>
      <c r="D56" s="2" t="s">
        <v>128</v>
      </c>
      <c r="E56" s="3">
        <v>46</v>
      </c>
      <c r="F56" s="3">
        <v>46</v>
      </c>
      <c r="G56" s="3">
        <v>0</v>
      </c>
      <c r="H56" s="3">
        <v>0</v>
      </c>
      <c r="I56" s="3">
        <v>0</v>
      </c>
      <c r="J56" s="3">
        <f>E56+F56+G56-H56-I56</f>
      </c>
      <c r="K56" s="3">
        <v>0</v>
      </c>
      <c r="L56" s="4">
        <f>0-J56</f>
      </c>
      <c r="M56" s="3">
        <v>189</v>
      </c>
      <c r="N56" s="4">
        <f>L56*M56</f>
      </c>
      <c r="O56" s="2" t="s">
        <v>28</v>
      </c>
    </row>
    <row r="57" spans="1:15" x14ac:dyDescent="0.25">
      <c r="A57" s="5" t="s">
        <v>15</v>
      </c>
      <c r="B57" s="5" t="s">
        <v>16</v>
      </c>
      <c r="C57" s="5" t="s">
        <v>129</v>
      </c>
      <c r="D57" s="5" t="s">
        <v>130</v>
      </c>
      <c r="E57" s="4">
        <v>3</v>
      </c>
      <c r="F57" s="4">
        <v>3</v>
      </c>
      <c r="G57" s="4">
        <v>0</v>
      </c>
      <c r="H57" s="4">
        <v>0</v>
      </c>
      <c r="I57" s="4">
        <v>0</v>
      </c>
      <c r="J57" s="4">
        <f>E57+F57+G57-H57-I57</f>
      </c>
      <c r="K57" s="4">
        <v>0</v>
      </c>
      <c r="L57" s="4">
        <f>0-J57</f>
      </c>
      <c r="M57" s="4">
        <v>336</v>
      </c>
      <c r="N57" s="4">
        <f>L57*M57</f>
      </c>
      <c r="O57" s="5" t="s">
        <v>28</v>
      </c>
    </row>
    <row r="58" spans="1:15" x14ac:dyDescent="0.25">
      <c r="A58" s="2" t="s">
        <v>15</v>
      </c>
      <c r="B58" s="2" t="s">
        <v>16</v>
      </c>
      <c r="C58" s="2" t="s">
        <v>131</v>
      </c>
      <c r="D58" s="2" t="s">
        <v>132</v>
      </c>
      <c r="E58" s="3">
        <v>615.2299999999996</v>
      </c>
      <c r="F58" s="3">
        <v>2775</v>
      </c>
      <c r="G58" s="3">
        <v>0</v>
      </c>
      <c r="H58" s="3">
        <v>0</v>
      </c>
      <c r="I58" s="3">
        <v>2159.7700000000004</v>
      </c>
      <c r="J58" s="3">
        <f>E58+F58+G58-H58-I58</f>
      </c>
      <c r="K58" s="3">
        <v>102.5</v>
      </c>
      <c r="L58" s="4">
        <f>K58-J58</f>
      </c>
      <c r="M58" s="3">
        <v>77</v>
      </c>
      <c r="N58" s="4">
        <f>L58*M58</f>
      </c>
      <c r="O58" s="2" t="s">
        <v>19</v>
      </c>
    </row>
    <row r="59" spans="1:15" x14ac:dyDescent="0.25">
      <c r="A59" s="5" t="s">
        <v>15</v>
      </c>
      <c r="B59" s="5" t="s">
        <v>16</v>
      </c>
      <c r="C59" s="5" t="s">
        <v>133</v>
      </c>
      <c r="D59" s="5" t="s">
        <v>134</v>
      </c>
      <c r="E59" s="4">
        <v>64</v>
      </c>
      <c r="F59" s="4">
        <v>64</v>
      </c>
      <c r="G59" s="4">
        <v>0</v>
      </c>
      <c r="H59" s="4">
        <v>0</v>
      </c>
      <c r="I59" s="4">
        <v>0</v>
      </c>
      <c r="J59" s="4">
        <f>E59+F59+G59-H59-I59</f>
      </c>
      <c r="K59" s="4">
        <v>36.8</v>
      </c>
      <c r="L59" s="4">
        <f>K59-J59</f>
      </c>
      <c r="M59" s="4">
        <v>397.78</v>
      </c>
      <c r="N59" s="4">
        <f>L59*M59</f>
      </c>
      <c r="O59" s="5" t="s">
        <v>19</v>
      </c>
    </row>
    <row r="60" spans="1:15" x14ac:dyDescent="0.25">
      <c r="A60" s="2" t="s">
        <v>15</v>
      </c>
      <c r="B60" s="2" t="s">
        <v>16</v>
      </c>
      <c r="C60" s="2" t="s">
        <v>135</v>
      </c>
      <c r="D60" s="2" t="s">
        <v>136</v>
      </c>
      <c r="E60" s="3">
        <v>-24960</v>
      </c>
      <c r="F60" s="3">
        <v>38</v>
      </c>
      <c r="G60" s="3">
        <v>0</v>
      </c>
      <c r="H60" s="3">
        <v>0</v>
      </c>
      <c r="I60" s="3">
        <v>24998</v>
      </c>
      <c r="J60" s="3">
        <f>E60+F60+G60-H60-I60</f>
      </c>
      <c r="K60" s="3">
        <v>3600</v>
      </c>
      <c r="L60" s="4">
        <f>K60-J60</f>
      </c>
      <c r="M60" s="3">
        <v>0.87</v>
      </c>
      <c r="N60" s="4">
        <f>L60*M60</f>
      </c>
      <c r="O60" s="2" t="s">
        <v>19</v>
      </c>
    </row>
    <row r="61" spans="1:15" x14ac:dyDescent="0.25">
      <c r="A61" s="5" t="s">
        <v>15</v>
      </c>
      <c r="B61" s="5" t="s">
        <v>16</v>
      </c>
      <c r="C61" s="5" t="s">
        <v>137</v>
      </c>
      <c r="D61" s="5" t="s">
        <v>138</v>
      </c>
      <c r="E61" s="4">
        <v>-24961</v>
      </c>
      <c r="F61" s="4">
        <v>37</v>
      </c>
      <c r="G61" s="4">
        <v>0</v>
      </c>
      <c r="H61" s="4">
        <v>0</v>
      </c>
      <c r="I61" s="4">
        <v>24998</v>
      </c>
      <c r="J61" s="4">
        <f>E61+F61+G61-H61-I61</f>
      </c>
      <c r="K61" s="4">
        <v>3000</v>
      </c>
      <c r="L61" s="4">
        <f>K61-J61</f>
      </c>
      <c r="M61" s="4">
        <v>1.07</v>
      </c>
      <c r="N61" s="4">
        <f>L61*M61</f>
      </c>
      <c r="O61" s="5" t="s">
        <v>19</v>
      </c>
    </row>
    <row r="62" spans="1:15" x14ac:dyDescent="0.25">
      <c r="A62" s="2" t="s">
        <v>15</v>
      </c>
      <c r="B62" s="2" t="s">
        <v>16</v>
      </c>
      <c r="C62" s="2" t="s">
        <v>139</v>
      </c>
      <c r="D62" s="2" t="s">
        <v>140</v>
      </c>
      <c r="E62" s="3">
        <v>56</v>
      </c>
      <c r="F62" s="3">
        <v>56</v>
      </c>
      <c r="G62" s="3">
        <v>0</v>
      </c>
      <c r="H62" s="3">
        <v>0</v>
      </c>
      <c r="I62" s="3">
        <v>0</v>
      </c>
      <c r="J62" s="3">
        <f>E62+F62+G62-H62-I62</f>
      </c>
      <c r="K62" s="3">
        <v>78</v>
      </c>
      <c r="L62" s="4">
        <f>K62-J62</f>
      </c>
      <c r="M62" s="3">
        <v>7.4</v>
      </c>
      <c r="N62" s="4">
        <f>L62*M62</f>
      </c>
      <c r="O62" s="2" t="s">
        <v>19</v>
      </c>
    </row>
    <row r="63" spans="1:15" x14ac:dyDescent="0.25">
      <c r="A63" s="5" t="s">
        <v>15</v>
      </c>
      <c r="B63" s="5" t="s">
        <v>16</v>
      </c>
      <c r="C63" s="5" t="s">
        <v>141</v>
      </c>
      <c r="D63" s="5" t="s">
        <v>142</v>
      </c>
      <c r="E63" s="4">
        <v>50</v>
      </c>
      <c r="F63" s="4">
        <v>50</v>
      </c>
      <c r="G63" s="4">
        <v>0</v>
      </c>
      <c r="H63" s="4">
        <v>0</v>
      </c>
      <c r="I63" s="4">
        <v>0</v>
      </c>
      <c r="J63" s="4">
        <f>E63+F63+G63-H63-I63</f>
      </c>
      <c r="K63" s="4">
        <v>0</v>
      </c>
      <c r="L63" s="4">
        <f>0-J63</f>
      </c>
      <c r="M63" s="4">
        <v>24.4</v>
      </c>
      <c r="N63" s="4">
        <f>L63*M63</f>
      </c>
      <c r="O63" s="5" t="s">
        <v>28</v>
      </c>
    </row>
    <row r="64" spans="1:15" x14ac:dyDescent="0.25">
      <c r="A64" s="2" t="s">
        <v>15</v>
      </c>
      <c r="B64" s="2" t="s">
        <v>16</v>
      </c>
      <c r="C64" s="2" t="s">
        <v>143</v>
      </c>
      <c r="D64" s="2" t="s">
        <v>144</v>
      </c>
      <c r="E64" s="3">
        <v>580</v>
      </c>
      <c r="F64" s="3">
        <v>1160</v>
      </c>
      <c r="G64" s="3">
        <v>290</v>
      </c>
      <c r="H64" s="3">
        <v>0</v>
      </c>
      <c r="I64" s="3">
        <v>0</v>
      </c>
      <c r="J64" s="3">
        <f>E64+F64+G64-H64-I64</f>
      </c>
      <c r="K64" s="3">
        <v>0</v>
      </c>
      <c r="L64" s="4">
        <f>0-J64</f>
      </c>
      <c r="M64" s="3">
        <v>0</v>
      </c>
      <c r="N64" s="4">
        <f>L64*M64</f>
      </c>
      <c r="O64" s="2" t="s">
        <v>28</v>
      </c>
    </row>
    <row r="65" spans="1:15" x14ac:dyDescent="0.25">
      <c r="A65" s="5" t="s">
        <v>15</v>
      </c>
      <c r="B65" s="5" t="s">
        <v>16</v>
      </c>
      <c r="C65" s="5" t="s">
        <v>145</v>
      </c>
      <c r="D65" s="5" t="s">
        <v>146</v>
      </c>
      <c r="E65" s="4">
        <v>-79.79</v>
      </c>
      <c r="F65" s="4">
        <v>7</v>
      </c>
      <c r="G65" s="4">
        <v>0</v>
      </c>
      <c r="H65" s="4">
        <v>0</v>
      </c>
      <c r="I65" s="4">
        <v>86.79</v>
      </c>
      <c r="J65" s="4">
        <f>E65+F65+G65-H65-I65</f>
      </c>
      <c r="K65" s="4">
        <v>3.7</v>
      </c>
      <c r="L65" s="4">
        <f>K65-J65</f>
      </c>
      <c r="M65" s="4">
        <v>107.6</v>
      </c>
      <c r="N65" s="4">
        <f>L65*M65</f>
      </c>
      <c r="O65" s="5" t="s">
        <v>19</v>
      </c>
    </row>
    <row r="66" spans="1:15" x14ac:dyDescent="0.25">
      <c r="A66" s="2" t="s">
        <v>15</v>
      </c>
      <c r="B66" s="2" t="s">
        <v>16</v>
      </c>
      <c r="C66" s="2" t="s">
        <v>147</v>
      </c>
      <c r="D66" s="2" t="s">
        <v>148</v>
      </c>
      <c r="E66" s="3">
        <v>20</v>
      </c>
      <c r="F66" s="3">
        <v>20</v>
      </c>
      <c r="G66" s="3">
        <v>0</v>
      </c>
      <c r="H66" s="3">
        <v>0</v>
      </c>
      <c r="I66" s="3">
        <v>0</v>
      </c>
      <c r="J66" s="3">
        <f>E66+F66+G66-H66-I66</f>
      </c>
      <c r="K66" s="3">
        <v>0</v>
      </c>
      <c r="L66" s="4">
        <f>0-J66</f>
      </c>
      <c r="M66" s="3">
        <v>39.05</v>
      </c>
      <c r="N66" s="4">
        <f>L66*M66</f>
      </c>
      <c r="O66" s="2" t="s">
        <v>28</v>
      </c>
    </row>
    <row r="67" spans="1:15" x14ac:dyDescent="0.25">
      <c r="A67" s="5" t="s">
        <v>15</v>
      </c>
      <c r="B67" s="5" t="s">
        <v>16</v>
      </c>
      <c r="C67" s="5" t="s">
        <v>149</v>
      </c>
      <c r="D67" s="5" t="s">
        <v>150</v>
      </c>
      <c r="E67" s="4">
        <v>80</v>
      </c>
      <c r="F67" s="4">
        <v>80</v>
      </c>
      <c r="G67" s="4">
        <v>0</v>
      </c>
      <c r="H67" s="4">
        <v>0</v>
      </c>
      <c r="I67" s="4">
        <v>0</v>
      </c>
      <c r="J67" s="4">
        <f>E67+F67+G67-H67-I67</f>
      </c>
      <c r="K67" s="4">
        <v>8.75</v>
      </c>
      <c r="L67" s="4">
        <f>K67-J67</f>
      </c>
      <c r="M67" s="4">
        <v>29.9</v>
      </c>
      <c r="N67" s="4">
        <f>L67*M67</f>
      </c>
      <c r="O67" s="5" t="s">
        <v>19</v>
      </c>
    </row>
    <row r="68" spans="1:15" x14ac:dyDescent="0.25">
      <c r="A68" s="2" t="s">
        <v>15</v>
      </c>
      <c r="B68" s="2" t="s">
        <v>16</v>
      </c>
      <c r="C68" s="2" t="s">
        <v>151</v>
      </c>
      <c r="D68" s="2" t="s">
        <v>152</v>
      </c>
      <c r="E68" s="3">
        <v>40</v>
      </c>
      <c r="F68" s="3">
        <v>40</v>
      </c>
      <c r="G68" s="3">
        <v>0</v>
      </c>
      <c r="H68" s="3">
        <v>0</v>
      </c>
      <c r="I68" s="3">
        <v>0</v>
      </c>
      <c r="J68" s="3">
        <f>E68+F68+G68-H68-I68</f>
      </c>
      <c r="K68" s="3">
        <v>0</v>
      </c>
      <c r="L68" s="4">
        <f>0-J68</f>
      </c>
      <c r="M68" s="3">
        <v>44.21</v>
      </c>
      <c r="N68" s="4">
        <f>L68*M68</f>
      </c>
      <c r="O68" s="2" t="s">
        <v>28</v>
      </c>
    </row>
    <row r="69" spans="1:15" x14ac:dyDescent="0.25">
      <c r="A69" s="6" t="s">
        <v>153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>
        <f>SUM(N2:N68)</f>
      </c>
      <c r="O69" s="6"/>
    </row>
  </sheetData>
  <autoFilter ref="A1:O1"/>
  <conditionalFormatting sqref="L2:L68">
    <cfRule type="expression" dxfId="0" priority="1">
      <formula>L2&lt;0</formula>
    </cfRule>
    <cfRule type="expression" dxfId="1" priority="2">
      <formula>L2&gt;0</formula>
    </cfRule>
  </conditionalFormatting>
  <conditionalFormatting sqref="N2:N69">
    <cfRule type="expression" dxfId="2" priority="3">
      <formula>N2&lt;0</formula>
    </cfRule>
    <cfRule type="expression" dxfId="3" priority="4">
      <formula>N2&gt;0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4" customWidth="1"/>
    <col min="4" max="4" width="42" customWidth="1"/>
    <col min="5" max="5" width="14" customWidth="1"/>
    <col min="6" max="6" width="16" customWidth="1"/>
    <col min="7" max="8" width="14" customWidth="1"/>
    <col min="9" max="9" width="16" customWidth="1"/>
    <col min="10" max="11" width="14" customWidth="1"/>
    <col min="12" max="12" width="18" customWidth="1"/>
    <col min="13" max="14" width="16" customWidth="1"/>
    <col min="15" max="15" width="18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154</v>
      </c>
      <c r="D2" s="2" t="s">
        <v>155</v>
      </c>
      <c r="E2" s="3">
        <v>0</v>
      </c>
      <c r="F2" s="3">
        <v>0</v>
      </c>
      <c r="G2" s="3">
        <v>0</v>
      </c>
      <c r="H2" s="3">
        <v>0</v>
      </c>
      <c r="I2" s="3">
        <v>168</v>
      </c>
      <c r="J2" s="3">
        <f>E2+F2+G2-H2-I2</f>
      </c>
      <c r="K2" s="3">
        <v>0</v>
      </c>
      <c r="L2" s="4">
        <f>0-J2</f>
      </c>
      <c r="M2" s="3">
        <v>0.94</v>
      </c>
      <c r="N2" s="4">
        <f>L2*M2</f>
      </c>
      <c r="O2" s="2" t="s">
        <v>28</v>
      </c>
    </row>
    <row r="3" spans="1:15" x14ac:dyDescent="0.25">
      <c r="A3" s="5" t="s">
        <v>15</v>
      </c>
      <c r="B3" s="5" t="s">
        <v>16</v>
      </c>
      <c r="C3" s="5" t="s">
        <v>156</v>
      </c>
      <c r="D3" s="5" t="s">
        <v>157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f>E3+F3+G3-H3-I3</f>
      </c>
      <c r="K3" s="4">
        <v>4</v>
      </c>
      <c r="L3" s="4">
        <f>K3-J3</f>
      </c>
      <c r="M3" s="4">
        <v>98</v>
      </c>
      <c r="N3" s="4">
        <f>L3*M3</f>
      </c>
      <c r="O3" s="5" t="s">
        <v>19</v>
      </c>
    </row>
    <row r="4" spans="1:15" x14ac:dyDescent="0.25">
      <c r="A4" s="2" t="s">
        <v>15</v>
      </c>
      <c r="B4" s="2" t="s">
        <v>16</v>
      </c>
      <c r="C4" s="2" t="s">
        <v>158</v>
      </c>
      <c r="D4" s="2" t="s">
        <v>159</v>
      </c>
      <c r="E4" s="3">
        <v>-20.828931034482757</v>
      </c>
      <c r="F4" s="3">
        <v>0</v>
      </c>
      <c r="G4" s="3">
        <v>0</v>
      </c>
      <c r="H4" s="3">
        <v>0</v>
      </c>
      <c r="I4" s="3">
        <v>20.828931034482757</v>
      </c>
      <c r="J4" s="3">
        <f>E4+F4+G4-H4-I4</f>
      </c>
      <c r="K4" s="3">
        <v>0</v>
      </c>
      <c r="L4" s="4">
        <f>0-J4</f>
      </c>
      <c r="M4" s="3">
        <v>90.56</v>
      </c>
      <c r="N4" s="4">
        <f>L4*M4</f>
      </c>
      <c r="O4" s="2" t="s">
        <v>28</v>
      </c>
    </row>
    <row r="5" spans="1:15" x14ac:dyDescent="0.25">
      <c r="A5" s="5" t="s">
        <v>15</v>
      </c>
      <c r="B5" s="5" t="s">
        <v>16</v>
      </c>
      <c r="C5" s="5" t="s">
        <v>160</v>
      </c>
      <c r="D5" s="5" t="s">
        <v>161</v>
      </c>
      <c r="E5" s="4">
        <v>-8.125</v>
      </c>
      <c r="F5" s="4">
        <v>0</v>
      </c>
      <c r="G5" s="4">
        <v>0</v>
      </c>
      <c r="H5" s="4">
        <v>0</v>
      </c>
      <c r="I5" s="4">
        <v>8.125</v>
      </c>
      <c r="J5" s="4">
        <f>E5+F5+G5-H5-I5</f>
      </c>
      <c r="K5" s="4">
        <v>0</v>
      </c>
      <c r="L5" s="4">
        <f>0-J5</f>
      </c>
      <c r="M5" s="4">
        <v>0</v>
      </c>
      <c r="N5" s="4">
        <f>L5*M5</f>
      </c>
      <c r="O5" s="5" t="s">
        <v>28</v>
      </c>
    </row>
    <row r="6" spans="1:15" x14ac:dyDescent="0.25">
      <c r="A6" s="2" t="s">
        <v>15</v>
      </c>
      <c r="B6" s="2" t="s">
        <v>16</v>
      </c>
      <c r="C6" s="2" t="s">
        <v>162</v>
      </c>
      <c r="D6" s="2" t="s">
        <v>163</v>
      </c>
      <c r="E6" s="3">
        <v>-8</v>
      </c>
      <c r="F6" s="3">
        <v>0</v>
      </c>
      <c r="G6" s="3">
        <v>0</v>
      </c>
      <c r="H6" s="3">
        <v>0</v>
      </c>
      <c r="I6" s="3">
        <v>8</v>
      </c>
      <c r="J6" s="3">
        <f>E6+F6+G6-H6-I6</f>
      </c>
      <c r="K6" s="3">
        <v>0</v>
      </c>
      <c r="L6" s="4">
        <f>0-J6</f>
      </c>
      <c r="M6" s="3">
        <v>26.82</v>
      </c>
      <c r="N6" s="4">
        <f>L6*M6</f>
      </c>
      <c r="O6" s="2" t="s">
        <v>28</v>
      </c>
    </row>
    <row r="7" spans="1:15" x14ac:dyDescent="0.25">
      <c r="A7" s="5" t="s">
        <v>15</v>
      </c>
      <c r="B7" s="5" t="s">
        <v>16</v>
      </c>
      <c r="C7" s="5" t="s">
        <v>164</v>
      </c>
      <c r="D7" s="5" t="s">
        <v>165</v>
      </c>
      <c r="E7" s="4">
        <v>-149</v>
      </c>
      <c r="F7" s="4">
        <v>0</v>
      </c>
      <c r="G7" s="4">
        <v>0</v>
      </c>
      <c r="H7" s="4">
        <v>0</v>
      </c>
      <c r="I7" s="4">
        <v>149</v>
      </c>
      <c r="J7" s="4">
        <f>E7+F7+G7-H7-I7</f>
      </c>
      <c r="K7" s="4">
        <v>23</v>
      </c>
      <c r="L7" s="4">
        <f>K7-J7</f>
      </c>
      <c r="M7" s="4">
        <v>26.82</v>
      </c>
      <c r="N7" s="4">
        <f>L7*M7</f>
      </c>
      <c r="O7" s="5" t="s">
        <v>19</v>
      </c>
    </row>
    <row r="8" spans="1:15" x14ac:dyDescent="0.25">
      <c r="A8" s="2" t="s">
        <v>15</v>
      </c>
      <c r="B8" s="2" t="s">
        <v>16</v>
      </c>
      <c r="C8" s="2" t="s">
        <v>166</v>
      </c>
      <c r="D8" s="2" t="s">
        <v>167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f>E8+F8+G8-H8-I8</f>
      </c>
      <c r="K8" s="3">
        <v>26</v>
      </c>
      <c r="L8" s="4">
        <f>K8-J8</f>
      </c>
      <c r="M8" s="3">
        <v>26.82</v>
      </c>
      <c r="N8" s="4">
        <f>L8*M8</f>
      </c>
      <c r="O8" s="2" t="s">
        <v>19</v>
      </c>
    </row>
    <row r="9" spans="1:15" x14ac:dyDescent="0.25">
      <c r="A9" s="5" t="s">
        <v>15</v>
      </c>
      <c r="B9" s="5" t="s">
        <v>16</v>
      </c>
      <c r="C9" s="5" t="s">
        <v>168</v>
      </c>
      <c r="D9" s="5" t="s">
        <v>169</v>
      </c>
      <c r="E9" s="4">
        <v>-3.0317241379310347</v>
      </c>
      <c r="F9" s="4">
        <v>0</v>
      </c>
      <c r="G9" s="4">
        <v>0</v>
      </c>
      <c r="H9" s="4">
        <v>0</v>
      </c>
      <c r="I9" s="4">
        <v>3.0317241379310347</v>
      </c>
      <c r="J9" s="4">
        <f>E9+F9+G9-H9-I9</f>
      </c>
      <c r="K9" s="4">
        <v>0</v>
      </c>
      <c r="L9" s="4">
        <f>0-J9</f>
      </c>
      <c r="M9" s="4">
        <v>544</v>
      </c>
      <c r="N9" s="4">
        <f>L9*M9</f>
      </c>
      <c r="O9" s="5" t="s">
        <v>28</v>
      </c>
    </row>
    <row r="10" spans="1:15" x14ac:dyDescent="0.25">
      <c r="A10" s="2" t="s">
        <v>15</v>
      </c>
      <c r="B10" s="2" t="s">
        <v>16</v>
      </c>
      <c r="C10" s="2" t="s">
        <v>170</v>
      </c>
      <c r="D10" s="2" t="s">
        <v>171</v>
      </c>
      <c r="E10" s="3">
        <v>-3.65</v>
      </c>
      <c r="F10" s="3">
        <v>0</v>
      </c>
      <c r="G10" s="3">
        <v>0</v>
      </c>
      <c r="H10" s="3">
        <v>0</v>
      </c>
      <c r="I10" s="3">
        <v>3.65</v>
      </c>
      <c r="J10" s="3">
        <f>E10+F10+G10-H10-I10</f>
      </c>
      <c r="K10" s="3">
        <v>0</v>
      </c>
      <c r="L10" s="4">
        <f>0-J10</f>
      </c>
      <c r="M10" s="3">
        <v>58.75</v>
      </c>
      <c r="N10" s="4">
        <f>L10*M10</f>
      </c>
      <c r="O10" s="2" t="s">
        <v>28</v>
      </c>
    </row>
    <row r="11" spans="1:15" x14ac:dyDescent="0.25">
      <c r="A11" s="5" t="s">
        <v>15</v>
      </c>
      <c r="B11" s="5" t="s">
        <v>16</v>
      </c>
      <c r="C11" s="5" t="s">
        <v>172</v>
      </c>
      <c r="D11" s="5" t="s">
        <v>173</v>
      </c>
      <c r="E11" s="4">
        <v>-541</v>
      </c>
      <c r="F11" s="4">
        <v>0</v>
      </c>
      <c r="G11" s="4">
        <v>0</v>
      </c>
      <c r="H11" s="4">
        <v>0</v>
      </c>
      <c r="I11" s="4">
        <v>541</v>
      </c>
      <c r="J11" s="4">
        <f>E11+F11+G11-H11-I11</f>
      </c>
      <c r="K11" s="4">
        <v>0</v>
      </c>
      <c r="L11" s="4">
        <f>0-J11</f>
      </c>
      <c r="M11" s="4">
        <v>0</v>
      </c>
      <c r="N11" s="4">
        <f>L11*M11</f>
      </c>
      <c r="O11" s="5" t="s">
        <v>28</v>
      </c>
    </row>
    <row r="12" spans="1:15" x14ac:dyDescent="0.25">
      <c r="A12" s="2" t="s">
        <v>15</v>
      </c>
      <c r="B12" s="2" t="s">
        <v>16</v>
      </c>
      <c r="C12" s="2" t="s">
        <v>174</v>
      </c>
      <c r="D12" s="2" t="s">
        <v>175</v>
      </c>
      <c r="E12" s="3">
        <v>-10.95</v>
      </c>
      <c r="F12" s="3">
        <v>0</v>
      </c>
      <c r="G12" s="3">
        <v>0</v>
      </c>
      <c r="H12" s="3">
        <v>0</v>
      </c>
      <c r="I12" s="3">
        <v>10.95</v>
      </c>
      <c r="J12" s="3">
        <f>E12+F12+G12-H12-I12</f>
      </c>
      <c r="K12" s="3">
        <v>0</v>
      </c>
      <c r="L12" s="4">
        <f>0-J12</f>
      </c>
      <c r="M12" s="3">
        <v>20</v>
      </c>
      <c r="N12" s="4">
        <f>L12*M12</f>
      </c>
      <c r="O12" s="2" t="s">
        <v>28</v>
      </c>
    </row>
    <row r="13" spans="1:15" x14ac:dyDescent="0.25">
      <c r="A13" s="5" t="s">
        <v>15</v>
      </c>
      <c r="B13" s="5" t="s">
        <v>16</v>
      </c>
      <c r="C13" s="5" t="s">
        <v>176</v>
      </c>
      <c r="D13" s="5" t="s">
        <v>177</v>
      </c>
      <c r="E13" s="4">
        <v>-12.902155172413794</v>
      </c>
      <c r="F13" s="4">
        <v>0</v>
      </c>
      <c r="G13" s="4">
        <v>0</v>
      </c>
      <c r="H13" s="4">
        <v>0</v>
      </c>
      <c r="I13" s="4">
        <v>12.902155172413794</v>
      </c>
      <c r="J13" s="4">
        <f>E13+F13+G13-H13-I13</f>
      </c>
      <c r="K13" s="4">
        <v>0</v>
      </c>
      <c r="L13" s="4">
        <f>0-J13</f>
      </c>
      <c r="M13" s="4">
        <v>260</v>
      </c>
      <c r="N13" s="4">
        <f>L13*M13</f>
      </c>
      <c r="O13" s="5" t="s">
        <v>28</v>
      </c>
    </row>
    <row r="14" spans="1:15" x14ac:dyDescent="0.25">
      <c r="A14" s="2" t="s">
        <v>15</v>
      </c>
      <c r="B14" s="2" t="s">
        <v>16</v>
      </c>
      <c r="C14" s="2" t="s">
        <v>178</v>
      </c>
      <c r="D14" s="2" t="s">
        <v>179</v>
      </c>
      <c r="E14" s="3">
        <v>-2.507548275862069</v>
      </c>
      <c r="F14" s="3">
        <v>0</v>
      </c>
      <c r="G14" s="3">
        <v>0</v>
      </c>
      <c r="H14" s="3">
        <v>0</v>
      </c>
      <c r="I14" s="3">
        <v>2.507548275862069</v>
      </c>
      <c r="J14" s="3">
        <f>E14+F14+G14-H14-I14</f>
      </c>
      <c r="K14" s="3">
        <v>3.25</v>
      </c>
      <c r="L14" s="4">
        <f>K14-J14</f>
      </c>
      <c r="M14" s="3">
        <v>189</v>
      </c>
      <c r="N14" s="4">
        <f>L14*M14</f>
      </c>
      <c r="O14" s="2" t="s">
        <v>19</v>
      </c>
    </row>
    <row r="15" spans="1:15" x14ac:dyDescent="0.25">
      <c r="A15" s="5" t="s">
        <v>15</v>
      </c>
      <c r="B15" s="5" t="s">
        <v>16</v>
      </c>
      <c r="C15" s="5" t="s">
        <v>180</v>
      </c>
      <c r="D15" s="5" t="s">
        <v>181</v>
      </c>
      <c r="E15" s="4">
        <v>-3.65</v>
      </c>
      <c r="F15" s="4">
        <v>0</v>
      </c>
      <c r="G15" s="4">
        <v>0</v>
      </c>
      <c r="H15" s="4">
        <v>0</v>
      </c>
      <c r="I15" s="4">
        <v>3.65</v>
      </c>
      <c r="J15" s="4">
        <f>E15+F15+G15-H15-I15</f>
      </c>
      <c r="K15" s="4">
        <v>0</v>
      </c>
      <c r="L15" s="4">
        <f>0-J15</f>
      </c>
      <c r="M15" s="4">
        <v>19.8</v>
      </c>
      <c r="N15" s="4">
        <f>L15*M15</f>
      </c>
      <c r="O15" s="5" t="s">
        <v>28</v>
      </c>
    </row>
    <row r="16" spans="1:15" x14ac:dyDescent="0.25">
      <c r="A16" s="2" t="s">
        <v>15</v>
      </c>
      <c r="B16" s="2" t="s">
        <v>16</v>
      </c>
      <c r="C16" s="2" t="s">
        <v>182</v>
      </c>
      <c r="D16" s="2" t="s">
        <v>183</v>
      </c>
      <c r="E16" s="3">
        <v>-6.978103448275863</v>
      </c>
      <c r="F16" s="3">
        <v>0</v>
      </c>
      <c r="G16" s="3">
        <v>0</v>
      </c>
      <c r="H16" s="3">
        <v>0</v>
      </c>
      <c r="I16" s="3">
        <v>6.978103448275863</v>
      </c>
      <c r="J16" s="3">
        <f>E16+F16+G16-H16-I16</f>
      </c>
      <c r="K16" s="3">
        <v>0</v>
      </c>
      <c r="L16" s="4">
        <f>0-J16</f>
      </c>
      <c r="M16" s="3">
        <v>875</v>
      </c>
      <c r="N16" s="4">
        <f>L16*M16</f>
      </c>
      <c r="O16" s="2" t="s">
        <v>28</v>
      </c>
    </row>
    <row r="17" spans="1:15" x14ac:dyDescent="0.25">
      <c r="A17" s="5" t="s">
        <v>15</v>
      </c>
      <c r="B17" s="5" t="s">
        <v>16</v>
      </c>
      <c r="C17" s="5" t="s">
        <v>184</v>
      </c>
      <c r="D17" s="5" t="s">
        <v>185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f>E17+F17+G17-H17-I17</f>
      </c>
      <c r="K17" s="4">
        <v>58</v>
      </c>
      <c r="L17" s="4">
        <f>K17-J17</f>
      </c>
      <c r="M17" s="4">
        <v>23.8</v>
      </c>
      <c r="N17" s="4">
        <f>L17*M17</f>
      </c>
      <c r="O17" s="5" t="s">
        <v>19</v>
      </c>
    </row>
    <row r="18" spans="1:15" x14ac:dyDescent="0.25">
      <c r="A18" s="2" t="s">
        <v>15</v>
      </c>
      <c r="B18" s="2" t="s">
        <v>16</v>
      </c>
      <c r="C18" s="2" t="s">
        <v>186</v>
      </c>
      <c r="D18" s="2" t="s">
        <v>187</v>
      </c>
      <c r="E18" s="3">
        <v>-53</v>
      </c>
      <c r="F18" s="3">
        <v>0</v>
      </c>
      <c r="G18" s="3">
        <v>0</v>
      </c>
      <c r="H18" s="3">
        <v>0</v>
      </c>
      <c r="I18" s="3">
        <v>53</v>
      </c>
      <c r="J18" s="3">
        <f>E18+F18+G18-H18-I18</f>
      </c>
      <c r="K18" s="3">
        <v>0</v>
      </c>
      <c r="L18" s="4">
        <f>0-J18</f>
      </c>
      <c r="M18" s="3">
        <v>26.82</v>
      </c>
      <c r="N18" s="4">
        <f>L18*M18</f>
      </c>
      <c r="O18" s="2" t="s">
        <v>28</v>
      </c>
    </row>
    <row r="19" spans="1:15" x14ac:dyDescent="0.25">
      <c r="A19" s="5" t="s">
        <v>15</v>
      </c>
      <c r="B19" s="5" t="s">
        <v>16</v>
      </c>
      <c r="C19" s="5" t="s">
        <v>188</v>
      </c>
      <c r="D19" s="5" t="s">
        <v>189</v>
      </c>
      <c r="E19" s="4">
        <v>-193</v>
      </c>
      <c r="F19" s="4">
        <v>0</v>
      </c>
      <c r="G19" s="4">
        <v>0</v>
      </c>
      <c r="H19" s="4">
        <v>0</v>
      </c>
      <c r="I19" s="4">
        <v>193</v>
      </c>
      <c r="J19" s="4">
        <f>E19+F19+G19-H19-I19</f>
      </c>
      <c r="K19" s="4">
        <v>0</v>
      </c>
      <c r="L19" s="4">
        <f>0-J19</f>
      </c>
      <c r="M19" s="4">
        <v>26.82</v>
      </c>
      <c r="N19" s="4">
        <f>L19*M19</f>
      </c>
      <c r="O19" s="5" t="s">
        <v>28</v>
      </c>
    </row>
    <row r="20" spans="1:15" x14ac:dyDescent="0.25">
      <c r="A20" s="2" t="s">
        <v>15</v>
      </c>
      <c r="B20" s="2" t="s">
        <v>16</v>
      </c>
      <c r="C20" s="2" t="s">
        <v>190</v>
      </c>
      <c r="D20" s="2" t="s">
        <v>191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f>E20+F20+G20-H20-I20</f>
      </c>
      <c r="K20" s="3">
        <v>22</v>
      </c>
      <c r="L20" s="4">
        <f>K20-J20</f>
      </c>
      <c r="M20" s="3">
        <v>0</v>
      </c>
      <c r="N20" s="4">
        <f>L20*M20</f>
      </c>
      <c r="O20" s="2" t="s">
        <v>19</v>
      </c>
    </row>
    <row r="21" spans="1:15" x14ac:dyDescent="0.25">
      <c r="A21" s="5" t="s">
        <v>15</v>
      </c>
      <c r="B21" s="5" t="s">
        <v>16</v>
      </c>
      <c r="C21" s="5" t="s">
        <v>192</v>
      </c>
      <c r="D21" s="5" t="s">
        <v>193</v>
      </c>
      <c r="E21" s="4">
        <v>-3.747413793103448</v>
      </c>
      <c r="F21" s="4">
        <v>0</v>
      </c>
      <c r="G21" s="4">
        <v>0</v>
      </c>
      <c r="H21" s="4">
        <v>0</v>
      </c>
      <c r="I21" s="4">
        <v>3.747413793103448</v>
      </c>
      <c r="J21" s="4">
        <f>E21+F21+G21-H21-I21</f>
      </c>
      <c r="K21" s="4">
        <v>0</v>
      </c>
      <c r="L21" s="4">
        <f>0-J21</f>
      </c>
      <c r="M21" s="4">
        <v>50</v>
      </c>
      <c r="N21" s="4">
        <f>L21*M21</f>
      </c>
      <c r="O21" s="5" t="s">
        <v>28</v>
      </c>
    </row>
    <row r="22" spans="1:15" x14ac:dyDescent="0.25">
      <c r="A22" s="2" t="s">
        <v>15</v>
      </c>
      <c r="B22" s="2" t="s">
        <v>16</v>
      </c>
      <c r="C22" s="2" t="s">
        <v>194</v>
      </c>
      <c r="D22" s="2" t="s">
        <v>195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f>E22+F22+G22-H22-I22</f>
      </c>
      <c r="K22" s="3">
        <v>15</v>
      </c>
      <c r="L22" s="4">
        <f>K22-J22</f>
      </c>
      <c r="M22" s="3">
        <v>498</v>
      </c>
      <c r="N22" s="4">
        <f>L22*M22</f>
      </c>
      <c r="O22" s="2" t="s">
        <v>19</v>
      </c>
    </row>
    <row r="23" spans="1:15" x14ac:dyDescent="0.25">
      <c r="A23" s="5" t="s">
        <v>15</v>
      </c>
      <c r="B23" s="5" t="s">
        <v>16</v>
      </c>
      <c r="C23" s="5" t="s">
        <v>196</v>
      </c>
      <c r="D23" s="5" t="s">
        <v>197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f>E23+F23+G23-H23-I23</f>
      </c>
      <c r="K23" s="4">
        <v>892</v>
      </c>
      <c r="L23" s="4">
        <f>K23-J23</f>
      </c>
      <c r="M23" s="4">
        <v>4.08</v>
      </c>
      <c r="N23" s="4">
        <f>L23*M23</f>
      </c>
      <c r="O23" s="5" t="s">
        <v>19</v>
      </c>
    </row>
    <row r="24" spans="1:15" x14ac:dyDescent="0.25">
      <c r="A24" s="2" t="s">
        <v>15</v>
      </c>
      <c r="B24" s="2" t="s">
        <v>16</v>
      </c>
      <c r="C24" s="2" t="s">
        <v>198</v>
      </c>
      <c r="D24" s="2" t="s">
        <v>199</v>
      </c>
      <c r="E24" s="3">
        <v>-3.4127172413793105</v>
      </c>
      <c r="F24" s="3">
        <v>0</v>
      </c>
      <c r="G24" s="3">
        <v>0</v>
      </c>
      <c r="H24" s="3">
        <v>0</v>
      </c>
      <c r="I24" s="3">
        <v>3.4127172413793105</v>
      </c>
      <c r="J24" s="3">
        <f>E24+F24+G24-H24-I24</f>
      </c>
      <c r="K24" s="3">
        <v>0</v>
      </c>
      <c r="L24" s="4">
        <f>0-J24</f>
      </c>
      <c r="M24" s="3">
        <v>189</v>
      </c>
      <c r="N24" s="4">
        <f>L24*M24</f>
      </c>
      <c r="O24" s="2" t="s">
        <v>28</v>
      </c>
    </row>
    <row r="25" spans="1:15" x14ac:dyDescent="0.25">
      <c r="A25" s="5" t="s">
        <v>15</v>
      </c>
      <c r="B25" s="5" t="s">
        <v>16</v>
      </c>
      <c r="C25" s="5" t="s">
        <v>200</v>
      </c>
      <c r="D25" s="5" t="s">
        <v>201</v>
      </c>
      <c r="E25" s="4">
        <v>-9.624137931034483</v>
      </c>
      <c r="F25" s="4">
        <v>0</v>
      </c>
      <c r="G25" s="4">
        <v>0</v>
      </c>
      <c r="H25" s="4">
        <v>0</v>
      </c>
      <c r="I25" s="4">
        <v>9.624137931034483</v>
      </c>
      <c r="J25" s="4">
        <f>E25+F25+G25-H25-I25</f>
      </c>
      <c r="K25" s="4">
        <v>0</v>
      </c>
      <c r="L25" s="4">
        <f>0-J25</f>
      </c>
      <c r="M25" s="4">
        <v>217</v>
      </c>
      <c r="N25" s="4">
        <f>L25*M25</f>
      </c>
      <c r="O25" s="5" t="s">
        <v>28</v>
      </c>
    </row>
    <row r="26" spans="1:15" x14ac:dyDescent="0.25">
      <c r="A26" s="2" t="s">
        <v>15</v>
      </c>
      <c r="B26" s="2" t="s">
        <v>16</v>
      </c>
      <c r="C26" s="2" t="s">
        <v>202</v>
      </c>
      <c r="D26" s="2" t="s">
        <v>203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f>E26+F26+G26-H26-I26</f>
      </c>
      <c r="K26" s="3">
        <v>68</v>
      </c>
      <c r="L26" s="4">
        <f>K26-J26</f>
      </c>
      <c r="M26" s="3">
        <v>0</v>
      </c>
      <c r="N26" s="4">
        <f>L26*M26</f>
      </c>
      <c r="O26" s="2" t="s">
        <v>19</v>
      </c>
    </row>
    <row r="27" spans="1:15" x14ac:dyDescent="0.25">
      <c r="A27" s="5" t="s">
        <v>15</v>
      </c>
      <c r="B27" s="5" t="s">
        <v>16</v>
      </c>
      <c r="C27" s="5" t="s">
        <v>204</v>
      </c>
      <c r="D27" s="5" t="s">
        <v>205</v>
      </c>
      <c r="E27" s="4">
        <v>-10.6</v>
      </c>
      <c r="F27" s="4">
        <v>0</v>
      </c>
      <c r="G27" s="4">
        <v>0</v>
      </c>
      <c r="H27" s="4">
        <v>0</v>
      </c>
      <c r="I27" s="4">
        <v>10.6</v>
      </c>
      <c r="J27" s="4">
        <f>E27+F27+G27-H27-I27</f>
      </c>
      <c r="K27" s="4">
        <v>0</v>
      </c>
      <c r="L27" s="4">
        <f>0-J27</f>
      </c>
      <c r="M27" s="4">
        <v>0</v>
      </c>
      <c r="N27" s="4">
        <f>L27*M27</f>
      </c>
      <c r="O27" s="5" t="s">
        <v>28</v>
      </c>
    </row>
    <row r="28" spans="1:15" x14ac:dyDescent="0.25">
      <c r="A28" s="2" t="s">
        <v>15</v>
      </c>
      <c r="B28" s="2" t="s">
        <v>16</v>
      </c>
      <c r="C28" s="2" t="s">
        <v>206</v>
      </c>
      <c r="D28" s="2" t="s">
        <v>207</v>
      </c>
      <c r="E28" s="3">
        <v>-1</v>
      </c>
      <c r="F28" s="3">
        <v>0</v>
      </c>
      <c r="G28" s="3">
        <v>0</v>
      </c>
      <c r="H28" s="3">
        <v>0</v>
      </c>
      <c r="I28" s="3">
        <v>1</v>
      </c>
      <c r="J28" s="3">
        <f>E28+F28+G28-H28-I28</f>
      </c>
      <c r="K28" s="3">
        <v>0</v>
      </c>
      <c r="L28" s="4">
        <f>0-J28</f>
      </c>
      <c r="M28" s="3">
        <v>0</v>
      </c>
      <c r="N28" s="4">
        <f>L28*M28</f>
      </c>
      <c r="O28" s="2" t="s">
        <v>28</v>
      </c>
    </row>
    <row r="29" spans="1:15" x14ac:dyDescent="0.25">
      <c r="A29" s="5" t="s">
        <v>15</v>
      </c>
      <c r="B29" s="5" t="s">
        <v>16</v>
      </c>
      <c r="C29" s="5" t="s">
        <v>208</v>
      </c>
      <c r="D29" s="5" t="s">
        <v>209</v>
      </c>
      <c r="E29" s="4">
        <v>-21.2</v>
      </c>
      <c r="F29" s="4">
        <v>0</v>
      </c>
      <c r="G29" s="4">
        <v>0</v>
      </c>
      <c r="H29" s="4">
        <v>0</v>
      </c>
      <c r="I29" s="4">
        <v>21.2</v>
      </c>
      <c r="J29" s="4">
        <f>E29+F29+G29-H29-I29</f>
      </c>
      <c r="K29" s="4">
        <v>0</v>
      </c>
      <c r="L29" s="4">
        <f>0-J29</f>
      </c>
      <c r="M29" s="4">
        <v>188.2</v>
      </c>
      <c r="N29" s="4">
        <f>L29*M29</f>
      </c>
      <c r="O29" s="5" t="s">
        <v>28</v>
      </c>
    </row>
    <row r="30" spans="1:15" x14ac:dyDescent="0.25">
      <c r="A30" s="2" t="s">
        <v>15</v>
      </c>
      <c r="B30" s="2" t="s">
        <v>16</v>
      </c>
      <c r="C30" s="2" t="s">
        <v>210</v>
      </c>
      <c r="D30" s="2" t="s">
        <v>211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f>E30+F30+G30-H30-I30</f>
      </c>
      <c r="K30" s="3">
        <v>7</v>
      </c>
      <c r="L30" s="4">
        <f>K30-J30</f>
      </c>
      <c r="M30" s="3">
        <v>26</v>
      </c>
      <c r="N30" s="4">
        <f>L30*M30</f>
      </c>
      <c r="O30" s="2" t="s">
        <v>19</v>
      </c>
    </row>
    <row r="31" spans="1:15" x14ac:dyDescent="0.25">
      <c r="A31" s="5" t="s">
        <v>15</v>
      </c>
      <c r="B31" s="5" t="s">
        <v>16</v>
      </c>
      <c r="C31" s="5" t="s">
        <v>212</v>
      </c>
      <c r="D31" s="5" t="s">
        <v>213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f>E31+F31+G31-H31-I31</f>
      </c>
      <c r="K31" s="4">
        <v>2</v>
      </c>
      <c r="L31" s="4">
        <f>K31-J31</f>
      </c>
      <c r="M31" s="4">
        <v>168</v>
      </c>
      <c r="N31" s="4">
        <f>L31*M31</f>
      </c>
      <c r="O31" s="5" t="s">
        <v>19</v>
      </c>
    </row>
    <row r="32" spans="1:15" x14ac:dyDescent="0.25">
      <c r="A32" s="2" t="s">
        <v>15</v>
      </c>
      <c r="B32" s="2" t="s">
        <v>16</v>
      </c>
      <c r="C32" s="2" t="s">
        <v>214</v>
      </c>
      <c r="D32" s="2" t="s">
        <v>215</v>
      </c>
      <c r="E32" s="3">
        <v>-2.887</v>
      </c>
      <c r="F32" s="3">
        <v>0</v>
      </c>
      <c r="G32" s="3">
        <v>0</v>
      </c>
      <c r="H32" s="3">
        <v>0</v>
      </c>
      <c r="I32" s="3">
        <v>2.887</v>
      </c>
      <c r="J32" s="3">
        <f>E32+F32+G32-H32-I32</f>
      </c>
      <c r="K32" s="3">
        <v>0</v>
      </c>
      <c r="L32" s="4">
        <f>0-J32</f>
      </c>
      <c r="M32" s="3">
        <v>28.8</v>
      </c>
      <c r="N32" s="4">
        <f>L32*M32</f>
      </c>
      <c r="O32" s="2" t="s">
        <v>28</v>
      </c>
    </row>
    <row r="33" spans="1:15" x14ac:dyDescent="0.25">
      <c r="A33" s="5" t="s">
        <v>15</v>
      </c>
      <c r="B33" s="5" t="s">
        <v>16</v>
      </c>
      <c r="C33" s="5" t="s">
        <v>216</v>
      </c>
      <c r="D33" s="5" t="s">
        <v>217</v>
      </c>
      <c r="E33" s="4">
        <v>-83.92896551724138</v>
      </c>
      <c r="F33" s="4">
        <v>0</v>
      </c>
      <c r="G33" s="4">
        <v>0</v>
      </c>
      <c r="H33" s="4">
        <v>0</v>
      </c>
      <c r="I33" s="4">
        <v>83.92896551724138</v>
      </c>
      <c r="J33" s="4">
        <f>E33+F33+G33-H33-I33</f>
      </c>
      <c r="K33" s="4">
        <v>0</v>
      </c>
      <c r="L33" s="4">
        <f>0-J33</f>
      </c>
      <c r="M33" s="4">
        <v>28.76</v>
      </c>
      <c r="N33" s="4">
        <f>L33*M33</f>
      </c>
      <c r="O33" s="5" t="s">
        <v>28</v>
      </c>
    </row>
    <row r="34" spans="1:15" x14ac:dyDescent="0.25">
      <c r="A34" s="2" t="s">
        <v>15</v>
      </c>
      <c r="B34" s="2" t="s">
        <v>16</v>
      </c>
      <c r="C34" s="2" t="s">
        <v>218</v>
      </c>
      <c r="D34" s="2" t="s">
        <v>219</v>
      </c>
      <c r="E34" s="3">
        <v>-1082</v>
      </c>
      <c r="F34" s="3">
        <v>0</v>
      </c>
      <c r="G34" s="3">
        <v>0</v>
      </c>
      <c r="H34" s="3">
        <v>0</v>
      </c>
      <c r="I34" s="3">
        <v>1082</v>
      </c>
      <c r="J34" s="3">
        <f>E34+F34+G34-H34-I34</f>
      </c>
      <c r="K34" s="3">
        <v>0</v>
      </c>
      <c r="L34" s="4">
        <f>0-J34</f>
      </c>
      <c r="M34" s="3">
        <v>259</v>
      </c>
      <c r="N34" s="4">
        <f>L34*M34</f>
      </c>
      <c r="O34" s="2" t="s">
        <v>28</v>
      </c>
    </row>
    <row r="35" spans="1:15" x14ac:dyDescent="0.25">
      <c r="A35" s="5" t="s">
        <v>15</v>
      </c>
      <c r="B35" s="5" t="s">
        <v>16</v>
      </c>
      <c r="C35" s="5" t="s">
        <v>220</v>
      </c>
      <c r="D35" s="5" t="s">
        <v>221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f>E35+F35+G35-H35-I35</f>
      </c>
      <c r="K35" s="4">
        <v>76</v>
      </c>
      <c r="L35" s="4">
        <f>K35-J35</f>
      </c>
      <c r="M35" s="4">
        <v>49</v>
      </c>
      <c r="N35" s="4">
        <f>L35*M35</f>
      </c>
      <c r="O35" s="5" t="s">
        <v>19</v>
      </c>
    </row>
    <row r="36" spans="1:15" x14ac:dyDescent="0.25">
      <c r="A36" s="2" t="s">
        <v>15</v>
      </c>
      <c r="B36" s="2" t="s">
        <v>16</v>
      </c>
      <c r="C36" s="2" t="s">
        <v>222</v>
      </c>
      <c r="D36" s="2" t="s">
        <v>223</v>
      </c>
      <c r="E36" s="3">
        <v>-1082</v>
      </c>
      <c r="F36" s="3">
        <v>0</v>
      </c>
      <c r="G36" s="3">
        <v>0</v>
      </c>
      <c r="H36" s="3">
        <v>0</v>
      </c>
      <c r="I36" s="3">
        <v>1082</v>
      </c>
      <c r="J36" s="3">
        <f>E36+F36+G36-H36-I36</f>
      </c>
      <c r="K36" s="3">
        <v>0</v>
      </c>
      <c r="L36" s="4">
        <f>0-J36</f>
      </c>
      <c r="M36" s="3">
        <v>0</v>
      </c>
      <c r="N36" s="4">
        <f>L36*M36</f>
      </c>
      <c r="O36" s="2" t="s">
        <v>28</v>
      </c>
    </row>
    <row r="37" spans="1:15" x14ac:dyDescent="0.25">
      <c r="A37" s="5" t="s">
        <v>15</v>
      </c>
      <c r="B37" s="5" t="s">
        <v>16</v>
      </c>
      <c r="C37" s="5" t="s">
        <v>224</v>
      </c>
      <c r="D37" s="5" t="s">
        <v>225</v>
      </c>
      <c r="E37" s="4">
        <v>-0.0028000000000000004</v>
      </c>
      <c r="F37" s="4">
        <v>0</v>
      </c>
      <c r="G37" s="4">
        <v>0</v>
      </c>
      <c r="H37" s="4">
        <v>0</v>
      </c>
      <c r="I37" s="4">
        <v>0.0028000000000000004</v>
      </c>
      <c r="J37" s="4">
        <f>E37+F37+G37-H37-I37</f>
      </c>
      <c r="K37" s="4">
        <v>0</v>
      </c>
      <c r="L37" s="4">
        <f>0-J37</f>
      </c>
      <c r="M37" s="4">
        <v>63</v>
      </c>
      <c r="N37" s="4">
        <f>L37*M37</f>
      </c>
      <c r="O37" s="5" t="s">
        <v>28</v>
      </c>
    </row>
    <row r="38" spans="1:15" x14ac:dyDescent="0.25">
      <c r="A38" s="2" t="s">
        <v>15</v>
      </c>
      <c r="B38" s="2" t="s">
        <v>16</v>
      </c>
      <c r="C38" s="2" t="s">
        <v>226</v>
      </c>
      <c r="D38" s="2" t="s">
        <v>227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f>E38+F38+G38-H38-I38</f>
      </c>
      <c r="K38" s="3">
        <v>1.5</v>
      </c>
      <c r="L38" s="4">
        <f>K38-J38</f>
      </c>
      <c r="M38" s="3">
        <v>28.6</v>
      </c>
      <c r="N38" s="4">
        <f>L38*M38</f>
      </c>
      <c r="O38" s="2" t="s">
        <v>19</v>
      </c>
    </row>
    <row r="39" spans="1:15" x14ac:dyDescent="0.25">
      <c r="A39" s="5" t="s">
        <v>15</v>
      </c>
      <c r="B39" s="5" t="s">
        <v>16</v>
      </c>
      <c r="C39" s="5" t="s">
        <v>228</v>
      </c>
      <c r="D39" s="5" t="s">
        <v>229</v>
      </c>
      <c r="E39" s="4">
        <v>-1</v>
      </c>
      <c r="F39" s="4">
        <v>0</v>
      </c>
      <c r="G39" s="4">
        <v>0</v>
      </c>
      <c r="H39" s="4">
        <v>0</v>
      </c>
      <c r="I39" s="4">
        <v>1</v>
      </c>
      <c r="J39" s="4">
        <f>E39+F39+G39-H39-I39</f>
      </c>
      <c r="K39" s="4">
        <v>0</v>
      </c>
      <c r="L39" s="4">
        <f>0-J39</f>
      </c>
      <c r="M39" s="4">
        <v>26.82</v>
      </c>
      <c r="N39" s="4">
        <f>L39*M39</f>
      </c>
      <c r="O39" s="5" t="s">
        <v>28</v>
      </c>
    </row>
    <row r="40" spans="1:15" x14ac:dyDescent="0.25">
      <c r="A40" s="2" t="s">
        <v>15</v>
      </c>
      <c r="B40" s="2" t="s">
        <v>16</v>
      </c>
      <c r="C40" s="2" t="s">
        <v>230</v>
      </c>
      <c r="D40" s="2" t="s">
        <v>231</v>
      </c>
      <c r="E40" s="3">
        <v>-134.74844827586207</v>
      </c>
      <c r="F40" s="3">
        <v>0</v>
      </c>
      <c r="G40" s="3">
        <v>0</v>
      </c>
      <c r="H40" s="3">
        <v>0</v>
      </c>
      <c r="I40" s="3">
        <v>134.74844827586207</v>
      </c>
      <c r="J40" s="3">
        <f>E40+F40+G40-H40-I40</f>
      </c>
      <c r="K40" s="3">
        <v>0</v>
      </c>
      <c r="L40" s="4">
        <f>0-J40</f>
      </c>
      <c r="M40" s="3">
        <v>40.51</v>
      </c>
      <c r="N40" s="4">
        <f>L40*M40</f>
      </c>
      <c r="O40" s="2" t="s">
        <v>28</v>
      </c>
    </row>
    <row r="41" spans="1:15" x14ac:dyDescent="0.25">
      <c r="A41" s="5" t="s">
        <v>15</v>
      </c>
      <c r="B41" s="5" t="s">
        <v>16</v>
      </c>
      <c r="C41" s="5" t="s">
        <v>232</v>
      </c>
      <c r="D41" s="5" t="s">
        <v>233</v>
      </c>
      <c r="E41" s="4">
        <v>-0.7137931034482758</v>
      </c>
      <c r="F41" s="4">
        <v>0</v>
      </c>
      <c r="G41" s="4">
        <v>0</v>
      </c>
      <c r="H41" s="4">
        <v>0</v>
      </c>
      <c r="I41" s="4">
        <v>0.7137931034482758</v>
      </c>
      <c r="J41" s="4">
        <f>E41+F41+G41-H41-I41</f>
      </c>
      <c r="K41" s="4">
        <v>0</v>
      </c>
      <c r="L41" s="4">
        <f>0-J41</f>
      </c>
      <c r="M41" s="4">
        <v>275</v>
      </c>
      <c r="N41" s="4">
        <f>L41*M41</f>
      </c>
      <c r="O41" s="5" t="s">
        <v>28</v>
      </c>
    </row>
    <row r="42" spans="1:15" x14ac:dyDescent="0.25">
      <c r="A42" s="2" t="s">
        <v>15</v>
      </c>
      <c r="B42" s="2" t="s">
        <v>16</v>
      </c>
      <c r="C42" s="2" t="s">
        <v>234</v>
      </c>
      <c r="D42" s="2" t="s">
        <v>235</v>
      </c>
      <c r="E42" s="3">
        <v>-7.3</v>
      </c>
      <c r="F42" s="3">
        <v>0</v>
      </c>
      <c r="G42" s="3">
        <v>0</v>
      </c>
      <c r="H42" s="3">
        <v>0</v>
      </c>
      <c r="I42" s="3">
        <v>7.3</v>
      </c>
      <c r="J42" s="3">
        <f>E42+F42+G42-H42-I42</f>
      </c>
      <c r="K42" s="3">
        <v>0</v>
      </c>
      <c r="L42" s="4">
        <f>0-J42</f>
      </c>
      <c r="M42" s="3">
        <v>259</v>
      </c>
      <c r="N42" s="4">
        <f>L42*M42</f>
      </c>
      <c r="O42" s="2" t="s">
        <v>28</v>
      </c>
    </row>
    <row r="43" spans="1:15" x14ac:dyDescent="0.25">
      <c r="A43" s="5" t="s">
        <v>15</v>
      </c>
      <c r="B43" s="5" t="s">
        <v>16</v>
      </c>
      <c r="C43" s="5" t="s">
        <v>236</v>
      </c>
      <c r="D43" s="5" t="s">
        <v>237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f>E43+F43+G43-H43-I43</f>
      </c>
      <c r="K43" s="4">
        <v>13.5</v>
      </c>
      <c r="L43" s="4">
        <f>K43-J43</f>
      </c>
      <c r="M43" s="4">
        <v>64.75</v>
      </c>
      <c r="N43" s="4">
        <f>L43*M43</f>
      </c>
      <c r="O43" s="5" t="s">
        <v>19</v>
      </c>
    </row>
    <row r="44" spans="1:15" x14ac:dyDescent="0.25">
      <c r="A44" s="2" t="s">
        <v>15</v>
      </c>
      <c r="B44" s="2" t="s">
        <v>16</v>
      </c>
      <c r="C44" s="2" t="s">
        <v>238</v>
      </c>
      <c r="D44" s="2" t="s">
        <v>239</v>
      </c>
      <c r="E44" s="3">
        <v>-8679</v>
      </c>
      <c r="F44" s="3">
        <v>0</v>
      </c>
      <c r="G44" s="3">
        <v>0</v>
      </c>
      <c r="H44" s="3">
        <v>0</v>
      </c>
      <c r="I44" s="3">
        <v>8679</v>
      </c>
      <c r="J44" s="3">
        <f>E44+F44+G44-H44-I44</f>
      </c>
      <c r="K44" s="3">
        <v>0</v>
      </c>
      <c r="L44" s="4">
        <f>0-J44</f>
      </c>
      <c r="M44" s="3">
        <v>9.85</v>
      </c>
      <c r="N44" s="4">
        <f>L44*M44</f>
      </c>
      <c r="O44" s="2" t="s">
        <v>28</v>
      </c>
    </row>
    <row r="45" spans="1:15" x14ac:dyDescent="0.25">
      <c r="A45" s="5" t="s">
        <v>15</v>
      </c>
      <c r="B45" s="5" t="s">
        <v>16</v>
      </c>
      <c r="C45" s="5" t="s">
        <v>240</v>
      </c>
      <c r="D45" s="5" t="s">
        <v>241</v>
      </c>
      <c r="E45" s="4">
        <v>-65.5596551724138</v>
      </c>
      <c r="F45" s="4">
        <v>0</v>
      </c>
      <c r="G45" s="4">
        <v>0</v>
      </c>
      <c r="H45" s="4">
        <v>0</v>
      </c>
      <c r="I45" s="4">
        <v>65.5596551724138</v>
      </c>
      <c r="J45" s="4">
        <f>E45+F45+G45-H45-I45</f>
      </c>
      <c r="K45" s="4">
        <v>0</v>
      </c>
      <c r="L45" s="4">
        <f>0-J45</f>
      </c>
      <c r="M45" s="4">
        <v>39.5</v>
      </c>
      <c r="N45" s="4">
        <f>L45*M45</f>
      </c>
      <c r="O45" s="5" t="s">
        <v>28</v>
      </c>
    </row>
    <row r="46" spans="1:15" x14ac:dyDescent="0.25">
      <c r="A46" s="2" t="s">
        <v>15</v>
      </c>
      <c r="B46" s="2" t="s">
        <v>16</v>
      </c>
      <c r="C46" s="2" t="s">
        <v>242</v>
      </c>
      <c r="D46" s="2" t="s">
        <v>243</v>
      </c>
      <c r="E46" s="3">
        <v>-17.72586206896552</v>
      </c>
      <c r="F46" s="3">
        <v>0</v>
      </c>
      <c r="G46" s="3">
        <v>0</v>
      </c>
      <c r="H46" s="3">
        <v>0</v>
      </c>
      <c r="I46" s="3">
        <v>17.72586206896552</v>
      </c>
      <c r="J46" s="3">
        <f>E46+F46+G46-H46-I46</f>
      </c>
      <c r="K46" s="3">
        <v>0</v>
      </c>
      <c r="L46" s="4">
        <f>0-J46</f>
      </c>
      <c r="M46" s="3">
        <v>90.56</v>
      </c>
      <c r="N46" s="4">
        <f>L46*M46</f>
      </c>
      <c r="O46" s="2" t="s">
        <v>28</v>
      </c>
    </row>
    <row r="47" spans="1:15" x14ac:dyDescent="0.25">
      <c r="A47" s="5" t="s">
        <v>15</v>
      </c>
      <c r="B47" s="5" t="s">
        <v>16</v>
      </c>
      <c r="C47" s="5" t="s">
        <v>244</v>
      </c>
      <c r="D47" s="5" t="s">
        <v>245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f>E47+F47+G47-H47-I47</f>
      </c>
      <c r="K47" s="4">
        <v>50</v>
      </c>
      <c r="L47" s="4">
        <f>K47-J47</f>
      </c>
      <c r="M47" s="4">
        <v>46.1</v>
      </c>
      <c r="N47" s="4">
        <f>L47*M47</f>
      </c>
      <c r="O47" s="5" t="s">
        <v>19</v>
      </c>
    </row>
    <row r="48" spans="1:15" x14ac:dyDescent="0.25">
      <c r="A48" s="2" t="s">
        <v>15</v>
      </c>
      <c r="B48" s="2" t="s">
        <v>16</v>
      </c>
      <c r="C48" s="2" t="s">
        <v>246</v>
      </c>
      <c r="D48" s="2" t="s">
        <v>247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f>E48+F48+G48-H48-I48</f>
      </c>
      <c r="K48" s="3">
        <v>21</v>
      </c>
      <c r="L48" s="4">
        <f>K48-J48</f>
      </c>
      <c r="M48" s="3">
        <v>29.73</v>
      </c>
      <c r="N48" s="4">
        <f>L48*M48</f>
      </c>
      <c r="O48" s="2" t="s">
        <v>19</v>
      </c>
    </row>
    <row r="49" spans="1:15" x14ac:dyDescent="0.25">
      <c r="A49" s="5" t="s">
        <v>15</v>
      </c>
      <c r="B49" s="5" t="s">
        <v>16</v>
      </c>
      <c r="C49" s="5" t="s">
        <v>248</v>
      </c>
      <c r="D49" s="5" t="s">
        <v>249</v>
      </c>
      <c r="E49" s="4">
        <v>-477.1724137931035</v>
      </c>
      <c r="F49" s="4">
        <v>0</v>
      </c>
      <c r="G49" s="4">
        <v>0</v>
      </c>
      <c r="H49" s="4">
        <v>0</v>
      </c>
      <c r="I49" s="4">
        <v>477.1724137931035</v>
      </c>
      <c r="J49" s="4">
        <f>E49+F49+G49-H49-I49</f>
      </c>
      <c r="K49" s="4">
        <v>0</v>
      </c>
      <c r="L49" s="4">
        <f>0-J49</f>
      </c>
      <c r="M49" s="4">
        <v>0</v>
      </c>
      <c r="N49" s="4">
        <f>L49*M49</f>
      </c>
      <c r="O49" s="5" t="s">
        <v>28</v>
      </c>
    </row>
    <row r="50" spans="1:15" x14ac:dyDescent="0.25">
      <c r="A50" s="6" t="s">
        <v>153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>
        <f>SUM(N2:N49)</f>
      </c>
      <c r="O50" s="6"/>
    </row>
  </sheetData>
  <autoFilter ref="A1:O1"/>
  <conditionalFormatting sqref="L2:L49">
    <cfRule type="expression" dxfId="4" priority="1">
      <formula>L2&lt;0</formula>
    </cfRule>
    <cfRule type="expression" dxfId="5" priority="2">
      <formula>L2&gt;0</formula>
    </cfRule>
  </conditionalFormatting>
  <conditionalFormatting sqref="N2:N50">
    <cfRule type="expression" dxfId="6" priority="3">
      <formula>N2&lt;0</formula>
    </cfRule>
    <cfRule type="expression" dxfId="7" priority="4">
      <formula>N2&gt;0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6" customWidth="1"/>
    <col min="4" max="4" width="16" customWidth="1"/>
  </cols>
  <sheetData>
    <row r="1" ht="24" customHeight="1" spans="1:4" x14ac:dyDescent="0.25">
      <c r="A1" s="1" t="s">
        <v>0</v>
      </c>
      <c r="B1" s="1" t="s">
        <v>2</v>
      </c>
      <c r="C1" s="1" t="s">
        <v>3</v>
      </c>
      <c r="D1" s="1" t="s">
        <v>250</v>
      </c>
    </row>
    <row r="2" spans="1:4" x14ac:dyDescent="0.25">
      <c r="A2" s="5" t="s">
        <v>15</v>
      </c>
      <c r="B2" s="5" t="s">
        <v>251</v>
      </c>
      <c r="C2" s="5" t="s">
        <v>252</v>
      </c>
      <c r="D2" s="4">
        <v>527</v>
      </c>
    </row>
    <row r="3" spans="1:4" x14ac:dyDescent="0.25">
      <c r="A3" s="5" t="s">
        <v>15</v>
      </c>
      <c r="B3" s="5" t="s">
        <v>39</v>
      </c>
      <c r="C3" s="5" t="s">
        <v>40</v>
      </c>
      <c r="D3" s="4">
        <v>963</v>
      </c>
    </row>
    <row r="4" spans="1:4" x14ac:dyDescent="0.25">
      <c r="A4" s="5" t="s">
        <v>15</v>
      </c>
      <c r="B4" s="5" t="s">
        <v>69</v>
      </c>
      <c r="C4" s="5" t="s">
        <v>70</v>
      </c>
      <c r="D4" s="4">
        <v>257</v>
      </c>
    </row>
    <row r="5" spans="1:4" x14ac:dyDescent="0.25">
      <c r="A5" s="5" t="s">
        <v>15</v>
      </c>
      <c r="B5" s="5" t="s">
        <v>228</v>
      </c>
      <c r="C5" s="5" t="s">
        <v>229</v>
      </c>
      <c r="D5" s="4">
        <v>1</v>
      </c>
    </row>
    <row r="6" spans="1:4" x14ac:dyDescent="0.25">
      <c r="A6" s="5" t="s">
        <v>15</v>
      </c>
      <c r="B6" s="5" t="s">
        <v>253</v>
      </c>
      <c r="C6" s="5" t="s">
        <v>254</v>
      </c>
      <c r="D6" s="4">
        <v>267</v>
      </c>
    </row>
    <row r="7" spans="1:4" x14ac:dyDescent="0.25">
      <c r="A7" s="5" t="s">
        <v>15</v>
      </c>
      <c r="B7" s="5" t="s">
        <v>63</v>
      </c>
      <c r="C7" s="5" t="s">
        <v>64</v>
      </c>
      <c r="D7" s="4">
        <v>114</v>
      </c>
    </row>
    <row r="8" spans="1:4" x14ac:dyDescent="0.25">
      <c r="A8" s="5" t="s">
        <v>15</v>
      </c>
      <c r="B8" s="5" t="s">
        <v>59</v>
      </c>
      <c r="C8" s="5" t="s">
        <v>60</v>
      </c>
      <c r="D8" s="4">
        <v>85</v>
      </c>
    </row>
    <row r="9" spans="1:4" x14ac:dyDescent="0.25">
      <c r="A9" s="5" t="s">
        <v>15</v>
      </c>
      <c r="B9" s="5" t="s">
        <v>255</v>
      </c>
      <c r="C9" s="5" t="s">
        <v>256</v>
      </c>
      <c r="D9" s="4">
        <v>287</v>
      </c>
    </row>
    <row r="10" spans="1:4" x14ac:dyDescent="0.25">
      <c r="A10" s="5" t="s">
        <v>15</v>
      </c>
      <c r="B10" s="5" t="s">
        <v>53</v>
      </c>
      <c r="C10" s="5" t="s">
        <v>54</v>
      </c>
      <c r="D10" s="4">
        <v>802</v>
      </c>
    </row>
    <row r="11" spans="1:4" x14ac:dyDescent="0.25">
      <c r="A11" s="5" t="s">
        <v>15</v>
      </c>
      <c r="B11" s="5" t="s">
        <v>257</v>
      </c>
      <c r="C11" s="5" t="s">
        <v>258</v>
      </c>
      <c r="D11" s="4">
        <v>291</v>
      </c>
    </row>
    <row r="12" spans="1:4" x14ac:dyDescent="0.25">
      <c r="A12" s="5" t="s">
        <v>15</v>
      </c>
      <c r="B12" s="5" t="s">
        <v>75</v>
      </c>
      <c r="C12" s="5" t="s">
        <v>76</v>
      </c>
      <c r="D12" s="4">
        <v>690</v>
      </c>
    </row>
    <row r="13" spans="1:4" x14ac:dyDescent="0.25">
      <c r="A13" s="5" t="s">
        <v>15</v>
      </c>
      <c r="B13" s="5" t="s">
        <v>259</v>
      </c>
      <c r="C13" s="5" t="s">
        <v>260</v>
      </c>
      <c r="D13" s="4">
        <v>155</v>
      </c>
    </row>
    <row r="14" spans="1:4" x14ac:dyDescent="0.25">
      <c r="A14" s="5" t="s">
        <v>15</v>
      </c>
      <c r="B14" s="5" t="s">
        <v>261</v>
      </c>
      <c r="C14" s="5" t="s">
        <v>262</v>
      </c>
      <c r="D14" s="4">
        <v>168</v>
      </c>
    </row>
    <row r="15" spans="1:4" x14ac:dyDescent="0.25">
      <c r="A15" s="5" t="s">
        <v>15</v>
      </c>
      <c r="B15" s="5" t="s">
        <v>263</v>
      </c>
      <c r="C15" s="5" t="s">
        <v>264</v>
      </c>
      <c r="D15" s="4">
        <v>1</v>
      </c>
    </row>
    <row r="16" spans="1:4" x14ac:dyDescent="0.25">
      <c r="A16" s="5" t="s">
        <v>15</v>
      </c>
      <c r="B16" s="5" t="s">
        <v>265</v>
      </c>
      <c r="C16" s="5" t="s">
        <v>266</v>
      </c>
      <c r="D16" s="4">
        <v>59</v>
      </c>
    </row>
    <row r="17" spans="1:4" x14ac:dyDescent="0.25">
      <c r="A17" s="5" t="s">
        <v>15</v>
      </c>
      <c r="B17" s="5" t="s">
        <v>37</v>
      </c>
      <c r="C17" s="5" t="s">
        <v>38</v>
      </c>
      <c r="D17" s="4">
        <v>23</v>
      </c>
    </row>
    <row r="18" spans="1:4" x14ac:dyDescent="0.25">
      <c r="A18" s="5" t="s">
        <v>15</v>
      </c>
      <c r="B18" s="5" t="s">
        <v>95</v>
      </c>
      <c r="C18" s="5" t="s">
        <v>96</v>
      </c>
      <c r="D18" s="4">
        <v>365</v>
      </c>
    </row>
    <row r="19" spans="1:4" x14ac:dyDescent="0.25">
      <c r="A19" s="5" t="s">
        <v>15</v>
      </c>
      <c r="B19" s="5" t="s">
        <v>267</v>
      </c>
      <c r="C19" s="5" t="s">
        <v>268</v>
      </c>
      <c r="D19" s="4">
        <v>541</v>
      </c>
    </row>
    <row r="20" spans="1:4" x14ac:dyDescent="0.25">
      <c r="A20" s="5" t="s">
        <v>15</v>
      </c>
      <c r="B20" s="5" t="s">
        <v>269</v>
      </c>
      <c r="C20" s="5" t="s">
        <v>270</v>
      </c>
      <c r="D20" s="4">
        <v>2433</v>
      </c>
    </row>
    <row r="21" spans="1:4" x14ac:dyDescent="0.25">
      <c r="A21" s="5" t="s">
        <v>15</v>
      </c>
      <c r="B21" s="5" t="s">
        <v>117</v>
      </c>
      <c r="C21" s="5" t="s">
        <v>118</v>
      </c>
      <c r="D21" s="4">
        <v>326</v>
      </c>
    </row>
    <row r="22" spans="1:4" x14ac:dyDescent="0.25">
      <c r="A22" s="5" t="s">
        <v>15</v>
      </c>
      <c r="B22" s="5" t="s">
        <v>26</v>
      </c>
      <c r="C22" s="5" t="s">
        <v>27</v>
      </c>
      <c r="D22" s="4">
        <v>20</v>
      </c>
    </row>
    <row r="23" spans="1:4" x14ac:dyDescent="0.25">
      <c r="A23" s="5" t="s">
        <v>15</v>
      </c>
      <c r="B23" s="5" t="s">
        <v>65</v>
      </c>
      <c r="C23" s="5" t="s">
        <v>66</v>
      </c>
      <c r="D23" s="4">
        <v>53</v>
      </c>
    </row>
    <row r="24" spans="1:4" x14ac:dyDescent="0.25">
      <c r="A24" s="5" t="s">
        <v>15</v>
      </c>
      <c r="B24" s="5" t="s">
        <v>271</v>
      </c>
      <c r="C24" s="5" t="s">
        <v>272</v>
      </c>
      <c r="D24" s="4">
        <v>530</v>
      </c>
    </row>
    <row r="25" spans="1:4" x14ac:dyDescent="0.25">
      <c r="A25" s="5" t="s">
        <v>15</v>
      </c>
      <c r="B25" s="5" t="s">
        <v>55</v>
      </c>
      <c r="C25" s="5" t="s">
        <v>56</v>
      </c>
      <c r="D25" s="4">
        <v>5750</v>
      </c>
    </row>
    <row r="26" spans="1:4" x14ac:dyDescent="0.25">
      <c r="A26" s="5" t="s">
        <v>15</v>
      </c>
      <c r="B26" s="5" t="s">
        <v>162</v>
      </c>
      <c r="C26" s="5" t="s">
        <v>163</v>
      </c>
      <c r="D26" s="4">
        <v>8</v>
      </c>
    </row>
    <row r="27" spans="1:4" x14ac:dyDescent="0.25">
      <c r="A27" s="5" t="s">
        <v>15</v>
      </c>
      <c r="B27" s="5" t="s">
        <v>206</v>
      </c>
      <c r="C27" s="5" t="s">
        <v>207</v>
      </c>
      <c r="D27" s="4">
        <v>1</v>
      </c>
    </row>
    <row r="28" spans="1:4" x14ac:dyDescent="0.25">
      <c r="A28" s="5" t="s">
        <v>15</v>
      </c>
      <c r="B28" s="5" t="s">
        <v>273</v>
      </c>
      <c r="C28" s="5" t="s">
        <v>274</v>
      </c>
      <c r="D28" s="4">
        <v>27298</v>
      </c>
    </row>
    <row r="29" spans="1:4" x14ac:dyDescent="0.25">
      <c r="A29" s="5" t="s">
        <v>15</v>
      </c>
      <c r="B29" s="5" t="s">
        <v>275</v>
      </c>
      <c r="C29" s="5" t="s">
        <v>276</v>
      </c>
      <c r="D29" s="4">
        <v>2926</v>
      </c>
    </row>
    <row r="30" spans="1:4" x14ac:dyDescent="0.25">
      <c r="A30" s="5" t="s">
        <v>15</v>
      </c>
      <c r="B30" s="5" t="s">
        <v>164</v>
      </c>
      <c r="C30" s="5" t="s">
        <v>165</v>
      </c>
      <c r="D30" s="4">
        <v>149</v>
      </c>
    </row>
    <row r="31" spans="1:4" x14ac:dyDescent="0.25">
      <c r="A31" s="5" t="s">
        <v>15</v>
      </c>
      <c r="B31" s="5" t="s">
        <v>277</v>
      </c>
      <c r="C31" s="5" t="s">
        <v>278</v>
      </c>
      <c r="D31" s="4">
        <v>571</v>
      </c>
    </row>
    <row r="32" spans="1:4" x14ac:dyDescent="0.25">
      <c r="A32" s="5" t="s">
        <v>15</v>
      </c>
      <c r="B32" s="5" t="s">
        <v>41</v>
      </c>
      <c r="C32" s="5" t="s">
        <v>42</v>
      </c>
      <c r="D32" s="4">
        <v>43</v>
      </c>
    </row>
    <row r="33" spans="1:4" x14ac:dyDescent="0.25">
      <c r="A33" s="5" t="s">
        <v>15</v>
      </c>
      <c r="B33" s="5" t="s">
        <v>279</v>
      </c>
      <c r="C33" s="5" t="s">
        <v>280</v>
      </c>
      <c r="D33" s="4">
        <v>6943</v>
      </c>
    </row>
    <row r="34" spans="1:4" x14ac:dyDescent="0.25">
      <c r="A34" s="5" t="s">
        <v>15</v>
      </c>
      <c r="B34" s="5" t="s">
        <v>281</v>
      </c>
      <c r="C34" s="5" t="s">
        <v>282</v>
      </c>
      <c r="D34" s="4">
        <v>5990</v>
      </c>
    </row>
    <row r="35" spans="1:4" x14ac:dyDescent="0.25">
      <c r="A35" s="5" t="s">
        <v>15</v>
      </c>
      <c r="B35" s="5" t="s">
        <v>202</v>
      </c>
      <c r="C35" s="5" t="s">
        <v>203</v>
      </c>
      <c r="D35" s="4">
        <v>8679</v>
      </c>
    </row>
    <row r="36" spans="1:4" x14ac:dyDescent="0.25">
      <c r="A36" s="5" t="s">
        <v>15</v>
      </c>
      <c r="B36" s="5" t="s">
        <v>87</v>
      </c>
      <c r="C36" s="5" t="s">
        <v>88</v>
      </c>
      <c r="D36" s="4">
        <v>809</v>
      </c>
    </row>
    <row r="37" spans="1:4" x14ac:dyDescent="0.25">
      <c r="A37" s="5" t="s">
        <v>15</v>
      </c>
      <c r="B37" s="5" t="s">
        <v>24</v>
      </c>
      <c r="C37" s="5" t="s">
        <v>25</v>
      </c>
      <c r="D37" s="4">
        <v>1722</v>
      </c>
    </row>
    <row r="38" spans="1:4" x14ac:dyDescent="0.25">
      <c r="A38" s="5" t="s">
        <v>15</v>
      </c>
      <c r="B38" s="5" t="s">
        <v>67</v>
      </c>
      <c r="C38" s="5" t="s">
        <v>68</v>
      </c>
      <c r="D38" s="4">
        <v>193</v>
      </c>
    </row>
    <row r="39" spans="3:4" x14ac:dyDescent="0.25">
      <c r="C39" s="6" t="s">
        <v>153</v>
      </c>
      <c r="D39" s="7">
        <f>SUM(D2:D38)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6" customWidth="1"/>
    <col min="4" max="4" width="14" customWidth="1"/>
    <col min="5" max="6" width="16" customWidth="1"/>
    <col min="7" max="7" width="14" customWidth="1"/>
  </cols>
  <sheetData>
    <row r="1" ht="24" customHeight="1" spans="1:7" x14ac:dyDescent="0.25">
      <c r="A1" s="1" t="s">
        <v>0</v>
      </c>
      <c r="B1" s="1" t="s">
        <v>2</v>
      </c>
      <c r="C1" s="1" t="s">
        <v>283</v>
      </c>
      <c r="D1" s="1" t="s">
        <v>4</v>
      </c>
      <c r="E1" s="1" t="s">
        <v>5</v>
      </c>
      <c r="F1" s="1" t="s">
        <v>8</v>
      </c>
      <c r="G1" s="1" t="s">
        <v>9</v>
      </c>
    </row>
    <row r="2" spans="1:7" x14ac:dyDescent="0.25">
      <c r="A2" s="5" t="s">
        <v>15</v>
      </c>
      <c r="B2" s="5" t="s">
        <v>47</v>
      </c>
      <c r="C2" s="5" t="s">
        <v>48</v>
      </c>
      <c r="D2" s="4">
        <v>133.69999999999993</v>
      </c>
      <c r="E2" s="4">
        <v>828</v>
      </c>
      <c r="F2" s="4">
        <v>694.3000000000001</v>
      </c>
      <c r="G2" s="4">
        <f>D2+E2-F2</f>
      </c>
    </row>
    <row r="3" spans="1:7" x14ac:dyDescent="0.25">
      <c r="A3" s="5" t="s">
        <v>15</v>
      </c>
      <c r="B3" s="5" t="s">
        <v>182</v>
      </c>
      <c r="C3" s="5" t="s">
        <v>183</v>
      </c>
      <c r="D3" s="4">
        <v>-6.978103448275863</v>
      </c>
      <c r="E3" s="4">
        <v>0</v>
      </c>
      <c r="F3" s="4">
        <v>6.978103448275863</v>
      </c>
      <c r="G3" s="4">
        <f>D3+E3-F3</f>
      </c>
    </row>
    <row r="4" spans="1:7" x14ac:dyDescent="0.25">
      <c r="A4" s="5" t="s">
        <v>15</v>
      </c>
      <c r="B4" s="5" t="s">
        <v>67</v>
      </c>
      <c r="C4" s="5" t="s">
        <v>68</v>
      </c>
      <c r="D4" s="4">
        <v>204</v>
      </c>
      <c r="E4" s="4">
        <v>204</v>
      </c>
      <c r="F4" s="4">
        <v>0</v>
      </c>
      <c r="G4" s="4">
        <f>D4+E4-F4</f>
      </c>
    </row>
    <row r="5" spans="1:7" x14ac:dyDescent="0.25">
      <c r="A5" s="5" t="s">
        <v>15</v>
      </c>
      <c r="B5" s="5" t="s">
        <v>65</v>
      </c>
      <c r="C5" s="5" t="s">
        <v>66</v>
      </c>
      <c r="D5" s="4">
        <v>36</v>
      </c>
      <c r="E5" s="4">
        <v>36</v>
      </c>
      <c r="F5" s="4">
        <v>0</v>
      </c>
      <c r="G5" s="4">
        <f>D5+E5-F5</f>
      </c>
    </row>
    <row r="6" spans="1:7" x14ac:dyDescent="0.25">
      <c r="A6" s="5" t="s">
        <v>15</v>
      </c>
      <c r="B6" s="5" t="s">
        <v>45</v>
      </c>
      <c r="C6" s="5" t="s">
        <v>46</v>
      </c>
      <c r="D6" s="4">
        <v>2</v>
      </c>
      <c r="E6" s="4">
        <v>2</v>
      </c>
      <c r="F6" s="4">
        <v>0</v>
      </c>
      <c r="G6" s="4">
        <f>D6+E6-F6</f>
      </c>
    </row>
    <row r="7" spans="1:7" x14ac:dyDescent="0.25">
      <c r="A7" s="5" t="s">
        <v>15</v>
      </c>
      <c r="B7" s="5" t="s">
        <v>39</v>
      </c>
      <c r="C7" s="5" t="s">
        <v>40</v>
      </c>
      <c r="D7" s="4">
        <v>-123</v>
      </c>
      <c r="E7" s="4">
        <v>840</v>
      </c>
      <c r="F7" s="4">
        <v>963</v>
      </c>
      <c r="G7" s="4">
        <f>D7+E7-F7</f>
      </c>
    </row>
    <row r="8" spans="1:7" x14ac:dyDescent="0.25">
      <c r="A8" s="5" t="s">
        <v>15</v>
      </c>
      <c r="B8" s="5" t="s">
        <v>131</v>
      </c>
      <c r="C8" s="5" t="s">
        <v>132</v>
      </c>
      <c r="D8" s="4">
        <v>615.2299999999996</v>
      </c>
      <c r="E8" s="4">
        <v>2775</v>
      </c>
      <c r="F8" s="4">
        <v>2159.7700000000004</v>
      </c>
      <c r="G8" s="4">
        <f>D8+E8-F8</f>
      </c>
    </row>
    <row r="9" spans="1:7" x14ac:dyDescent="0.25">
      <c r="A9" s="5" t="s">
        <v>15</v>
      </c>
      <c r="B9" s="5" t="s">
        <v>214</v>
      </c>
      <c r="C9" s="5" t="s">
        <v>215</v>
      </c>
      <c r="D9" s="4">
        <v>-2.887</v>
      </c>
      <c r="E9" s="4">
        <v>0</v>
      </c>
      <c r="F9" s="4">
        <v>2.887</v>
      </c>
      <c r="G9" s="4">
        <f>D9+E9-F9</f>
      </c>
    </row>
    <row r="10" spans="1:7" x14ac:dyDescent="0.25">
      <c r="A10" s="5" t="s">
        <v>15</v>
      </c>
      <c r="B10" s="5" t="s">
        <v>69</v>
      </c>
      <c r="C10" s="5" t="s">
        <v>70</v>
      </c>
      <c r="D10" s="4">
        <v>-53</v>
      </c>
      <c r="E10" s="4">
        <v>204</v>
      </c>
      <c r="F10" s="4">
        <v>257</v>
      </c>
      <c r="G10" s="4">
        <f>D10+E10-F10</f>
      </c>
    </row>
    <row r="11" spans="1:7" x14ac:dyDescent="0.25">
      <c r="A11" s="5" t="s">
        <v>15</v>
      </c>
      <c r="B11" s="5" t="s">
        <v>149</v>
      </c>
      <c r="C11" s="5" t="s">
        <v>150</v>
      </c>
      <c r="D11" s="4">
        <v>80</v>
      </c>
      <c r="E11" s="4">
        <v>80</v>
      </c>
      <c r="F11" s="4">
        <v>0</v>
      </c>
      <c r="G11" s="4">
        <f>D11+E11-F11</f>
      </c>
    </row>
    <row r="12" spans="1:7" x14ac:dyDescent="0.25">
      <c r="A12" s="5" t="s">
        <v>15</v>
      </c>
      <c r="B12" s="5" t="s">
        <v>170</v>
      </c>
      <c r="C12" s="5" t="s">
        <v>171</v>
      </c>
      <c r="D12" s="4">
        <v>-3.65</v>
      </c>
      <c r="E12" s="4">
        <v>0</v>
      </c>
      <c r="F12" s="4">
        <v>3.65</v>
      </c>
      <c r="G12" s="4">
        <f>D12+E12-F12</f>
      </c>
    </row>
    <row r="13" spans="1:7" x14ac:dyDescent="0.25">
      <c r="A13" s="5" t="s">
        <v>15</v>
      </c>
      <c r="B13" s="5" t="s">
        <v>228</v>
      </c>
      <c r="C13" s="5" t="s">
        <v>229</v>
      </c>
      <c r="D13" s="4">
        <v>-1</v>
      </c>
      <c r="E13" s="4">
        <v>0</v>
      </c>
      <c r="F13" s="4">
        <v>1</v>
      </c>
      <c r="G13" s="4">
        <f>D13+E13-F13</f>
      </c>
    </row>
    <row r="14" spans="1:7" x14ac:dyDescent="0.25">
      <c r="A14" s="5" t="s">
        <v>15</v>
      </c>
      <c r="B14" s="5" t="s">
        <v>186</v>
      </c>
      <c r="C14" s="5" t="s">
        <v>187</v>
      </c>
      <c r="D14" s="4">
        <v>-53</v>
      </c>
      <c r="E14" s="4">
        <v>0</v>
      </c>
      <c r="F14" s="4">
        <v>53</v>
      </c>
      <c r="G14" s="4">
        <f>D14+E14-F14</f>
      </c>
    </row>
    <row r="15" spans="1:7" x14ac:dyDescent="0.25">
      <c r="A15" s="5" t="s">
        <v>15</v>
      </c>
      <c r="B15" s="5" t="s">
        <v>222</v>
      </c>
      <c r="C15" s="5" t="s">
        <v>223</v>
      </c>
      <c r="D15" s="4">
        <v>-1082</v>
      </c>
      <c r="E15" s="4">
        <v>0</v>
      </c>
      <c r="F15" s="4">
        <v>1082</v>
      </c>
      <c r="G15" s="4">
        <f>D15+E15-F15</f>
      </c>
    </row>
    <row r="16" spans="1:7" x14ac:dyDescent="0.25">
      <c r="A16" s="5" t="s">
        <v>15</v>
      </c>
      <c r="B16" s="5" t="s">
        <v>63</v>
      </c>
      <c r="C16" s="5" t="s">
        <v>64</v>
      </c>
      <c r="D16" s="4">
        <v>42</v>
      </c>
      <c r="E16" s="4">
        <v>156</v>
      </c>
      <c r="F16" s="4">
        <v>114</v>
      </c>
      <c r="G16" s="4">
        <f>D16+E16-F16</f>
      </c>
    </row>
    <row r="17" spans="1:7" x14ac:dyDescent="0.25">
      <c r="A17" s="5" t="s">
        <v>15</v>
      </c>
      <c r="B17" s="5" t="s">
        <v>59</v>
      </c>
      <c r="C17" s="5" t="s">
        <v>60</v>
      </c>
      <c r="D17" s="4">
        <v>-37</v>
      </c>
      <c r="E17" s="4">
        <v>48</v>
      </c>
      <c r="F17" s="4">
        <v>85</v>
      </c>
      <c r="G17" s="4">
        <f>D17+E17-F17</f>
      </c>
    </row>
    <row r="18" spans="1:7" x14ac:dyDescent="0.25">
      <c r="A18" s="5" t="s">
        <v>15</v>
      </c>
      <c r="B18" s="5" t="s">
        <v>232</v>
      </c>
      <c r="C18" s="5" t="s">
        <v>233</v>
      </c>
      <c r="D18" s="4">
        <v>-0.7137931034482758</v>
      </c>
      <c r="E18" s="4">
        <v>0</v>
      </c>
      <c r="F18" s="4">
        <v>0.7137931034482758</v>
      </c>
      <c r="G18" s="4">
        <f>D18+E18-F18</f>
      </c>
    </row>
    <row r="19" spans="1:7" x14ac:dyDescent="0.25">
      <c r="A19" s="5" t="s">
        <v>15</v>
      </c>
      <c r="B19" s="5" t="s">
        <v>121</v>
      </c>
      <c r="C19" s="5" t="s">
        <v>122</v>
      </c>
      <c r="D19" s="4">
        <v>1</v>
      </c>
      <c r="E19" s="4">
        <v>1</v>
      </c>
      <c r="F19" s="4">
        <v>0</v>
      </c>
      <c r="G19" s="4">
        <f>D19+E19-F19</f>
      </c>
    </row>
    <row r="20" spans="1:7" x14ac:dyDescent="0.25">
      <c r="A20" s="5" t="s">
        <v>15</v>
      </c>
      <c r="B20" s="5" t="s">
        <v>230</v>
      </c>
      <c r="C20" s="5" t="s">
        <v>231</v>
      </c>
      <c r="D20" s="4">
        <v>-134.74844827586207</v>
      </c>
      <c r="E20" s="4">
        <v>0</v>
      </c>
      <c r="F20" s="4">
        <v>134.74844827586207</v>
      </c>
      <c r="G20" s="4">
        <f>D20+E20-F20</f>
      </c>
    </row>
    <row r="21" spans="1:7" x14ac:dyDescent="0.25">
      <c r="A21" s="5" t="s">
        <v>15</v>
      </c>
      <c r="B21" s="5" t="s">
        <v>53</v>
      </c>
      <c r="C21" s="5" t="s">
        <v>54</v>
      </c>
      <c r="D21" s="4">
        <v>-250</v>
      </c>
      <c r="E21" s="4">
        <v>552</v>
      </c>
      <c r="F21" s="4">
        <v>802</v>
      </c>
      <c r="G21" s="4">
        <f>D21+E21-F21</f>
      </c>
    </row>
    <row r="22" spans="1:7" x14ac:dyDescent="0.25">
      <c r="A22" s="5" t="s">
        <v>15</v>
      </c>
      <c r="B22" s="5" t="s">
        <v>75</v>
      </c>
      <c r="C22" s="5" t="s">
        <v>76</v>
      </c>
      <c r="D22" s="4">
        <v>674</v>
      </c>
      <c r="E22" s="4">
        <v>1348</v>
      </c>
      <c r="F22" s="4">
        <v>0</v>
      </c>
      <c r="G22" s="4">
        <f>D22+E22-F22</f>
      </c>
    </row>
    <row r="23" spans="1:7" x14ac:dyDescent="0.25">
      <c r="A23" s="5" t="s">
        <v>15</v>
      </c>
      <c r="B23" s="5" t="s">
        <v>83</v>
      </c>
      <c r="C23" s="5" t="s">
        <v>84</v>
      </c>
      <c r="D23" s="4">
        <v>1</v>
      </c>
      <c r="E23" s="4">
        <v>1</v>
      </c>
      <c r="F23" s="4">
        <v>0</v>
      </c>
      <c r="G23" s="4">
        <f>D23+E23-F23</f>
      </c>
    </row>
    <row r="24" spans="1:7" x14ac:dyDescent="0.25">
      <c r="A24" s="5" t="s">
        <v>15</v>
      </c>
      <c r="B24" s="5" t="s">
        <v>158</v>
      </c>
      <c r="C24" s="5" t="s">
        <v>159</v>
      </c>
      <c r="D24" s="4">
        <v>-20.828931034482757</v>
      </c>
      <c r="E24" s="4">
        <v>0</v>
      </c>
      <c r="F24" s="4">
        <v>20.828931034482757</v>
      </c>
      <c r="G24" s="4">
        <f>D24+E24-F24</f>
      </c>
    </row>
    <row r="25" spans="1:7" x14ac:dyDescent="0.25">
      <c r="A25" s="5" t="s">
        <v>15</v>
      </c>
      <c r="B25" s="5" t="s">
        <v>135</v>
      </c>
      <c r="C25" s="5" t="s">
        <v>136</v>
      </c>
      <c r="D25" s="4">
        <v>-24960</v>
      </c>
      <c r="E25" s="4">
        <v>38</v>
      </c>
      <c r="F25" s="4">
        <v>24998</v>
      </c>
      <c r="G25" s="4">
        <f>D25+E25-F25</f>
      </c>
    </row>
    <row r="26" spans="1:7" x14ac:dyDescent="0.25">
      <c r="A26" s="5" t="s">
        <v>15</v>
      </c>
      <c r="B26" s="5" t="s">
        <v>198</v>
      </c>
      <c r="C26" s="5" t="s">
        <v>199</v>
      </c>
      <c r="D26" s="4">
        <v>-3.4127172413793105</v>
      </c>
      <c r="E26" s="4">
        <v>0</v>
      </c>
      <c r="F26" s="4">
        <v>3.4127172413793105</v>
      </c>
      <c r="G26" s="4">
        <f>D26+E26-F26</f>
      </c>
    </row>
    <row r="27" spans="1:7" x14ac:dyDescent="0.25">
      <c r="A27" s="5" t="s">
        <v>15</v>
      </c>
      <c r="B27" s="5" t="s">
        <v>101</v>
      </c>
      <c r="C27" s="5" t="s">
        <v>102</v>
      </c>
      <c r="D27" s="4">
        <v>2</v>
      </c>
      <c r="E27" s="4">
        <v>2</v>
      </c>
      <c r="F27" s="4">
        <v>0</v>
      </c>
      <c r="G27" s="4">
        <f>D27+E27-F27</f>
      </c>
    </row>
    <row r="28" spans="1:7" x14ac:dyDescent="0.25">
      <c r="A28" s="5" t="s">
        <v>15</v>
      </c>
      <c r="B28" s="5" t="s">
        <v>93</v>
      </c>
      <c r="C28" s="5" t="s">
        <v>94</v>
      </c>
      <c r="D28" s="4">
        <v>20</v>
      </c>
      <c r="E28" s="4">
        <v>20</v>
      </c>
      <c r="F28" s="4">
        <v>0</v>
      </c>
      <c r="G28" s="4">
        <f>D28+E28-F28</f>
      </c>
    </row>
    <row r="29" spans="1:7" x14ac:dyDescent="0.25">
      <c r="A29" s="5" t="s">
        <v>15</v>
      </c>
      <c r="B29" s="5" t="s">
        <v>37</v>
      </c>
      <c r="C29" s="5" t="s">
        <v>38</v>
      </c>
      <c r="D29" s="4">
        <v>13</v>
      </c>
      <c r="E29" s="4">
        <v>36</v>
      </c>
      <c r="F29" s="4">
        <v>23</v>
      </c>
      <c r="G29" s="4">
        <f>D29+E29-F29</f>
      </c>
    </row>
    <row r="30" spans="1:7" x14ac:dyDescent="0.25">
      <c r="A30" s="5" t="s">
        <v>15</v>
      </c>
      <c r="B30" s="5" t="s">
        <v>95</v>
      </c>
      <c r="C30" s="5" t="s">
        <v>96</v>
      </c>
      <c r="D30" s="4">
        <v>470</v>
      </c>
      <c r="E30" s="4">
        <v>940</v>
      </c>
      <c r="F30" s="4">
        <v>0</v>
      </c>
      <c r="G30" s="4">
        <f>D30+E30-F30</f>
      </c>
    </row>
    <row r="31" spans="1:7" x14ac:dyDescent="0.25">
      <c r="A31" s="5" t="s">
        <v>15</v>
      </c>
      <c r="B31" s="5" t="s">
        <v>22</v>
      </c>
      <c r="C31" s="5" t="s">
        <v>23</v>
      </c>
      <c r="D31" s="4">
        <v>2</v>
      </c>
      <c r="E31" s="4">
        <v>2</v>
      </c>
      <c r="F31" s="4">
        <v>0</v>
      </c>
      <c r="G31" s="4">
        <f>D31+E31-F31</f>
      </c>
    </row>
    <row r="32" spans="1:7" x14ac:dyDescent="0.25">
      <c r="A32" s="5" t="s">
        <v>15</v>
      </c>
      <c r="B32" s="5" t="s">
        <v>20</v>
      </c>
      <c r="C32" s="5" t="s">
        <v>21</v>
      </c>
      <c r="D32" s="4">
        <v>1</v>
      </c>
      <c r="E32" s="4">
        <v>1</v>
      </c>
      <c r="F32" s="4">
        <v>0</v>
      </c>
      <c r="G32" s="4">
        <f>D32+E32-F32</f>
      </c>
    </row>
    <row r="33" spans="1:7" x14ac:dyDescent="0.25">
      <c r="A33" s="5" t="s">
        <v>15</v>
      </c>
      <c r="B33" s="5" t="s">
        <v>113</v>
      </c>
      <c r="C33" s="5" t="s">
        <v>114</v>
      </c>
      <c r="D33" s="4">
        <v>1</v>
      </c>
      <c r="E33" s="4">
        <v>1</v>
      </c>
      <c r="F33" s="4">
        <v>0</v>
      </c>
      <c r="G33" s="4">
        <f>D33+E33-F33</f>
      </c>
    </row>
    <row r="34" spans="1:7" x14ac:dyDescent="0.25">
      <c r="A34" s="5" t="s">
        <v>15</v>
      </c>
      <c r="B34" s="5" t="s">
        <v>103</v>
      </c>
      <c r="C34" s="5" t="s">
        <v>104</v>
      </c>
      <c r="D34" s="4">
        <v>2</v>
      </c>
      <c r="E34" s="4">
        <v>2</v>
      </c>
      <c r="F34" s="4">
        <v>0</v>
      </c>
      <c r="G34" s="4">
        <f>D34+E34-F34</f>
      </c>
    </row>
    <row r="35" spans="1:7" x14ac:dyDescent="0.25">
      <c r="A35" s="5" t="s">
        <v>15</v>
      </c>
      <c r="B35" s="5" t="s">
        <v>81</v>
      </c>
      <c r="C35" s="5" t="s">
        <v>82</v>
      </c>
      <c r="D35" s="4">
        <v>17</v>
      </c>
      <c r="E35" s="4">
        <v>17</v>
      </c>
      <c r="F35" s="4">
        <v>0</v>
      </c>
      <c r="G35" s="4">
        <f>D35+E35-F35</f>
      </c>
    </row>
    <row r="36" spans="1:7" x14ac:dyDescent="0.25">
      <c r="A36" s="5" t="s">
        <v>15</v>
      </c>
      <c r="B36" s="5" t="s">
        <v>127</v>
      </c>
      <c r="C36" s="5" t="s">
        <v>128</v>
      </c>
      <c r="D36" s="4">
        <v>46</v>
      </c>
      <c r="E36" s="4">
        <v>46</v>
      </c>
      <c r="F36" s="4">
        <v>0</v>
      </c>
      <c r="G36" s="4">
        <f>D36+E36-F36</f>
      </c>
    </row>
    <row r="37" spans="1:7" x14ac:dyDescent="0.25">
      <c r="A37" s="5" t="s">
        <v>15</v>
      </c>
      <c r="B37" s="5" t="s">
        <v>97</v>
      </c>
      <c r="C37" s="5" t="s">
        <v>98</v>
      </c>
      <c r="D37" s="4">
        <v>6</v>
      </c>
      <c r="E37" s="4">
        <v>6</v>
      </c>
      <c r="F37" s="4">
        <v>0</v>
      </c>
      <c r="G37" s="4">
        <f>D37+E37-F37</f>
      </c>
    </row>
    <row r="38" spans="1:7" x14ac:dyDescent="0.25">
      <c r="A38" s="5" t="s">
        <v>15</v>
      </c>
      <c r="B38" s="5" t="s">
        <v>107</v>
      </c>
      <c r="C38" s="5" t="s">
        <v>108</v>
      </c>
      <c r="D38" s="4">
        <v>4</v>
      </c>
      <c r="E38" s="4">
        <v>4</v>
      </c>
      <c r="F38" s="4">
        <v>0</v>
      </c>
      <c r="G38" s="4">
        <f>D38+E38-F38</f>
      </c>
    </row>
    <row r="39" spans="1:7" x14ac:dyDescent="0.25">
      <c r="A39" s="5" t="s">
        <v>15</v>
      </c>
      <c r="B39" s="5" t="s">
        <v>79</v>
      </c>
      <c r="C39" s="5" t="s">
        <v>80</v>
      </c>
      <c r="D39" s="4">
        <v>17</v>
      </c>
      <c r="E39" s="4">
        <v>17</v>
      </c>
      <c r="F39" s="4">
        <v>0</v>
      </c>
      <c r="G39" s="4">
        <f>D39+E39-F39</f>
      </c>
    </row>
    <row r="40" spans="1:7" x14ac:dyDescent="0.25">
      <c r="A40" s="5" t="s">
        <v>15</v>
      </c>
      <c r="B40" s="5" t="s">
        <v>180</v>
      </c>
      <c r="C40" s="5" t="s">
        <v>181</v>
      </c>
      <c r="D40" s="4">
        <v>-3.65</v>
      </c>
      <c r="E40" s="4">
        <v>0</v>
      </c>
      <c r="F40" s="4">
        <v>3.65</v>
      </c>
      <c r="G40" s="4">
        <f>D40+E40-F40</f>
      </c>
    </row>
    <row r="41" spans="1:7" x14ac:dyDescent="0.25">
      <c r="A41" s="5" t="s">
        <v>15</v>
      </c>
      <c r="B41" s="5" t="s">
        <v>117</v>
      </c>
      <c r="C41" s="5" t="s">
        <v>118</v>
      </c>
      <c r="D41" s="4">
        <v>-313</v>
      </c>
      <c r="E41" s="4">
        <v>13</v>
      </c>
      <c r="F41" s="4">
        <v>326</v>
      </c>
      <c r="G41" s="4">
        <f>D41+E41-F41</f>
      </c>
    </row>
    <row r="42" spans="1:7" x14ac:dyDescent="0.25">
      <c r="A42" s="5" t="s">
        <v>15</v>
      </c>
      <c r="B42" s="5" t="s">
        <v>160</v>
      </c>
      <c r="C42" s="5" t="s">
        <v>161</v>
      </c>
      <c r="D42" s="4">
        <v>-8.125</v>
      </c>
      <c r="E42" s="4">
        <v>0</v>
      </c>
      <c r="F42" s="4">
        <v>8.125</v>
      </c>
      <c r="G42" s="4">
        <f>D42+E42-F42</f>
      </c>
    </row>
    <row r="43" spans="1:7" x14ac:dyDescent="0.25">
      <c r="A43" s="5" t="s">
        <v>15</v>
      </c>
      <c r="B43" s="5" t="s">
        <v>26</v>
      </c>
      <c r="C43" s="5" t="s">
        <v>27</v>
      </c>
      <c r="D43" s="4">
        <v>44</v>
      </c>
      <c r="E43" s="4">
        <v>128</v>
      </c>
      <c r="F43" s="4">
        <v>20</v>
      </c>
      <c r="G43" s="4">
        <f>D43+E43-F43</f>
      </c>
    </row>
    <row r="44" spans="1:7" x14ac:dyDescent="0.25">
      <c r="A44" s="5" t="s">
        <v>15</v>
      </c>
      <c r="B44" s="5" t="s">
        <v>91</v>
      </c>
      <c r="C44" s="5" t="s">
        <v>92</v>
      </c>
      <c r="D44" s="4">
        <v>27</v>
      </c>
      <c r="E44" s="4">
        <v>27</v>
      </c>
      <c r="F44" s="4">
        <v>0</v>
      </c>
      <c r="G44" s="4">
        <f>D44+E44-F44</f>
      </c>
    </row>
    <row r="45" spans="1:7" x14ac:dyDescent="0.25">
      <c r="A45" s="5" t="s">
        <v>15</v>
      </c>
      <c r="B45" s="5" t="s">
        <v>119</v>
      </c>
      <c r="C45" s="5" t="s">
        <v>120</v>
      </c>
      <c r="D45" s="4">
        <v>-47.150000000000034</v>
      </c>
      <c r="E45" s="4">
        <v>300</v>
      </c>
      <c r="F45" s="4">
        <v>347.15000000000003</v>
      </c>
      <c r="G45" s="4">
        <f>D45+E45-F45</f>
      </c>
    </row>
    <row r="46" spans="1:7" x14ac:dyDescent="0.25">
      <c r="A46" s="5" t="s">
        <v>15</v>
      </c>
      <c r="B46" s="5" t="s">
        <v>188</v>
      </c>
      <c r="C46" s="5" t="s">
        <v>189</v>
      </c>
      <c r="D46" s="4">
        <v>-193</v>
      </c>
      <c r="E46" s="4">
        <v>0</v>
      </c>
      <c r="F46" s="4">
        <v>193</v>
      </c>
      <c r="G46" s="4">
        <f>D46+E46-F46</f>
      </c>
    </row>
    <row r="47" spans="1:7" x14ac:dyDescent="0.25">
      <c r="A47" s="5" t="s">
        <v>15</v>
      </c>
      <c r="B47" s="5" t="s">
        <v>55</v>
      </c>
      <c r="C47" s="5" t="s">
        <v>56</v>
      </c>
      <c r="D47" s="4">
        <v>-3110</v>
      </c>
      <c r="E47" s="4">
        <v>2640</v>
      </c>
      <c r="F47" s="4">
        <v>5750</v>
      </c>
      <c r="G47" s="4">
        <f>D47+E47-F47</f>
      </c>
    </row>
    <row r="48" spans="1:7" x14ac:dyDescent="0.25">
      <c r="A48" s="5" t="s">
        <v>15</v>
      </c>
      <c r="B48" s="5" t="s">
        <v>162</v>
      </c>
      <c r="C48" s="5" t="s">
        <v>163</v>
      </c>
      <c r="D48" s="4">
        <v>-8</v>
      </c>
      <c r="E48" s="4">
        <v>0</v>
      </c>
      <c r="F48" s="4">
        <v>8</v>
      </c>
      <c r="G48" s="4">
        <f>D48+E48-F48</f>
      </c>
    </row>
    <row r="49" spans="1:7" x14ac:dyDescent="0.25">
      <c r="A49" s="5" t="s">
        <v>15</v>
      </c>
      <c r="B49" s="5" t="s">
        <v>51</v>
      </c>
      <c r="C49" s="5" t="s">
        <v>52</v>
      </c>
      <c r="D49" s="4">
        <v>34.900000000001455</v>
      </c>
      <c r="E49" s="4">
        <v>35</v>
      </c>
      <c r="F49" s="4">
        <v>40320.1</v>
      </c>
      <c r="G49" s="4">
        <f>D49+E49-F49</f>
      </c>
    </row>
    <row r="50" spans="1:7" x14ac:dyDescent="0.25">
      <c r="A50" s="5" t="s">
        <v>15</v>
      </c>
      <c r="B50" s="5" t="s">
        <v>224</v>
      </c>
      <c r="C50" s="5" t="s">
        <v>225</v>
      </c>
      <c r="D50" s="4">
        <v>-0.0028000000000000004</v>
      </c>
      <c r="E50" s="4">
        <v>0</v>
      </c>
      <c r="F50" s="4">
        <v>0.0028000000000000004</v>
      </c>
      <c r="G50" s="4">
        <f>D50+E50-F50</f>
      </c>
    </row>
    <row r="51" spans="1:7" x14ac:dyDescent="0.25">
      <c r="A51" s="5" t="s">
        <v>15</v>
      </c>
      <c r="B51" s="5" t="s">
        <v>139</v>
      </c>
      <c r="C51" s="5" t="s">
        <v>140</v>
      </c>
      <c r="D51" s="4">
        <v>56</v>
      </c>
      <c r="E51" s="4">
        <v>56</v>
      </c>
      <c r="F51" s="4">
        <v>0</v>
      </c>
      <c r="G51" s="4">
        <f>D51+E51-F51</f>
      </c>
    </row>
    <row r="52" spans="1:7" x14ac:dyDescent="0.25">
      <c r="A52" s="5" t="s">
        <v>15</v>
      </c>
      <c r="B52" s="5" t="s">
        <v>206</v>
      </c>
      <c r="C52" s="5" t="s">
        <v>207</v>
      </c>
      <c r="D52" s="4">
        <v>-1</v>
      </c>
      <c r="E52" s="4">
        <v>0</v>
      </c>
      <c r="F52" s="4">
        <v>1</v>
      </c>
      <c r="G52" s="4">
        <f>D52+E52-F52</f>
      </c>
    </row>
    <row r="53" spans="1:7" x14ac:dyDescent="0.25">
      <c r="A53" s="5" t="s">
        <v>15</v>
      </c>
      <c r="B53" s="5" t="s">
        <v>43</v>
      </c>
      <c r="C53" s="5" t="s">
        <v>44</v>
      </c>
      <c r="D53" s="4">
        <v>16</v>
      </c>
      <c r="E53" s="4">
        <v>16</v>
      </c>
      <c r="F53" s="4">
        <v>0</v>
      </c>
      <c r="G53" s="4">
        <f>D53+E53-F53</f>
      </c>
    </row>
    <row r="54" spans="1:7" x14ac:dyDescent="0.25">
      <c r="A54" s="5" t="s">
        <v>15</v>
      </c>
      <c r="B54" s="5" t="s">
        <v>143</v>
      </c>
      <c r="C54" s="5" t="s">
        <v>144</v>
      </c>
      <c r="D54" s="4">
        <v>580</v>
      </c>
      <c r="E54" s="4">
        <v>1160</v>
      </c>
      <c r="F54" s="4">
        <v>0</v>
      </c>
      <c r="G54" s="4">
        <f>D54+E54-F54</f>
      </c>
    </row>
    <row r="55" spans="1:7" x14ac:dyDescent="0.25">
      <c r="A55" s="5" t="s">
        <v>15</v>
      </c>
      <c r="B55" s="5" t="s">
        <v>154</v>
      </c>
      <c r="C55" s="5" t="s">
        <v>155</v>
      </c>
      <c r="D55" s="4">
        <v>0</v>
      </c>
      <c r="E55" s="4">
        <v>0</v>
      </c>
      <c r="F55" s="4">
        <v>168</v>
      </c>
      <c r="G55" s="4">
        <f>D55+E55-F55</f>
      </c>
    </row>
    <row r="56" spans="1:7" x14ac:dyDescent="0.25">
      <c r="A56" s="5" t="s">
        <v>15</v>
      </c>
      <c r="B56" s="5" t="s">
        <v>168</v>
      </c>
      <c r="C56" s="5" t="s">
        <v>169</v>
      </c>
      <c r="D56" s="4">
        <v>-3.0317241379310347</v>
      </c>
      <c r="E56" s="4">
        <v>0</v>
      </c>
      <c r="F56" s="4">
        <v>3.0317241379310347</v>
      </c>
      <c r="G56" s="4">
        <f>D56+E56-F56</f>
      </c>
    </row>
    <row r="57" spans="1:7" x14ac:dyDescent="0.25">
      <c r="A57" s="5" t="s">
        <v>15</v>
      </c>
      <c r="B57" s="5" t="s">
        <v>174</v>
      </c>
      <c r="C57" s="5" t="s">
        <v>175</v>
      </c>
      <c r="D57" s="4">
        <v>-10.95</v>
      </c>
      <c r="E57" s="4">
        <v>0</v>
      </c>
      <c r="F57" s="4">
        <v>10.95</v>
      </c>
      <c r="G57" s="4">
        <f>D57+E57-F57</f>
      </c>
    </row>
    <row r="58" spans="1:7" x14ac:dyDescent="0.25">
      <c r="A58" s="5" t="s">
        <v>15</v>
      </c>
      <c r="B58" s="5" t="s">
        <v>115</v>
      </c>
      <c r="C58" s="5" t="s">
        <v>116</v>
      </c>
      <c r="D58" s="4">
        <v>14</v>
      </c>
      <c r="E58" s="4">
        <v>14</v>
      </c>
      <c r="F58" s="4">
        <v>0</v>
      </c>
      <c r="G58" s="4">
        <f>D58+E58-F58</f>
      </c>
    </row>
    <row r="59" spans="1:7" x14ac:dyDescent="0.25">
      <c r="A59" s="5" t="s">
        <v>15</v>
      </c>
      <c r="B59" s="5" t="s">
        <v>204</v>
      </c>
      <c r="C59" s="5" t="s">
        <v>205</v>
      </c>
      <c r="D59" s="4">
        <v>-10.6</v>
      </c>
      <c r="E59" s="4">
        <v>0</v>
      </c>
      <c r="F59" s="4">
        <v>10.6</v>
      </c>
      <c r="G59" s="4">
        <f>D59+E59-F59</f>
      </c>
    </row>
    <row r="60" spans="1:7" x14ac:dyDescent="0.25">
      <c r="A60" s="5" t="s">
        <v>15</v>
      </c>
      <c r="B60" s="5" t="s">
        <v>35</v>
      </c>
      <c r="C60" s="5" t="s">
        <v>36</v>
      </c>
      <c r="D60" s="4">
        <v>12</v>
      </c>
      <c r="E60" s="4">
        <v>12</v>
      </c>
      <c r="F60" s="4">
        <v>0</v>
      </c>
      <c r="G60" s="4">
        <f>D60+E60-F60</f>
      </c>
    </row>
    <row r="61" spans="1:7" x14ac:dyDescent="0.25">
      <c r="A61" s="5" t="s">
        <v>15</v>
      </c>
      <c r="B61" s="5" t="s">
        <v>111</v>
      </c>
      <c r="C61" s="5" t="s">
        <v>112</v>
      </c>
      <c r="D61" s="4">
        <v>13</v>
      </c>
      <c r="E61" s="4">
        <v>13</v>
      </c>
      <c r="F61" s="4">
        <v>0</v>
      </c>
      <c r="G61" s="4">
        <f>D61+E61-F61</f>
      </c>
    </row>
    <row r="62" spans="1:7" x14ac:dyDescent="0.25">
      <c r="A62" s="5" t="s">
        <v>15</v>
      </c>
      <c r="B62" s="5" t="s">
        <v>71</v>
      </c>
      <c r="C62" s="5" t="s">
        <v>72</v>
      </c>
      <c r="D62" s="4">
        <v>84.55999999999995</v>
      </c>
      <c r="E62" s="4">
        <v>640</v>
      </c>
      <c r="F62" s="4">
        <v>555.44</v>
      </c>
      <c r="G62" s="4">
        <f>D62+E62-F62</f>
      </c>
    </row>
    <row r="63" spans="1:7" x14ac:dyDescent="0.25">
      <c r="A63" s="5" t="s">
        <v>15</v>
      </c>
      <c r="B63" s="5" t="s">
        <v>216</v>
      </c>
      <c r="C63" s="5" t="s">
        <v>217</v>
      </c>
      <c r="D63" s="4">
        <v>-83.92896551724138</v>
      </c>
      <c r="E63" s="4">
        <v>0</v>
      </c>
      <c r="F63" s="4">
        <v>83.92896551724138</v>
      </c>
      <c r="G63" s="4">
        <f>D63+E63-F63</f>
      </c>
    </row>
    <row r="64" spans="1:7" x14ac:dyDescent="0.25">
      <c r="A64" s="5" t="s">
        <v>15</v>
      </c>
      <c r="B64" s="5" t="s">
        <v>172</v>
      </c>
      <c r="C64" s="5" t="s">
        <v>173</v>
      </c>
      <c r="D64" s="4">
        <v>-541</v>
      </c>
      <c r="E64" s="4">
        <v>0</v>
      </c>
      <c r="F64" s="4">
        <v>541</v>
      </c>
      <c r="G64" s="4">
        <f>D64+E64-F64</f>
      </c>
    </row>
    <row r="65" spans="1:7" x14ac:dyDescent="0.25">
      <c r="A65" s="5" t="s">
        <v>15</v>
      </c>
      <c r="B65" s="5" t="s">
        <v>164</v>
      </c>
      <c r="C65" s="5" t="s">
        <v>165</v>
      </c>
      <c r="D65" s="4">
        <v>-149</v>
      </c>
      <c r="E65" s="4">
        <v>0</v>
      </c>
      <c r="F65" s="4">
        <v>149</v>
      </c>
      <c r="G65" s="4">
        <f>D65+E65-F65</f>
      </c>
    </row>
    <row r="66" spans="1:7" x14ac:dyDescent="0.25">
      <c r="A66" s="5" t="s">
        <v>15</v>
      </c>
      <c r="B66" s="5" t="s">
        <v>137</v>
      </c>
      <c r="C66" s="5" t="s">
        <v>138</v>
      </c>
      <c r="D66" s="4">
        <v>-24961</v>
      </c>
      <c r="E66" s="4">
        <v>37</v>
      </c>
      <c r="F66" s="4">
        <v>24998</v>
      </c>
      <c r="G66" s="4">
        <f>D66+E66-F66</f>
      </c>
    </row>
    <row r="67" spans="1:7" x14ac:dyDescent="0.25">
      <c r="A67" s="5" t="s">
        <v>15</v>
      </c>
      <c r="B67" s="5" t="s">
        <v>85</v>
      </c>
      <c r="C67" s="5" t="s">
        <v>86</v>
      </c>
      <c r="D67" s="4">
        <v>780</v>
      </c>
      <c r="E67" s="4">
        <v>1560</v>
      </c>
      <c r="F67" s="4">
        <v>0</v>
      </c>
      <c r="G67" s="4">
        <f>D67+E67-F67</f>
      </c>
    </row>
    <row r="68" spans="1:7" x14ac:dyDescent="0.25">
      <c r="A68" s="5" t="s">
        <v>15</v>
      </c>
      <c r="B68" s="5" t="s">
        <v>218</v>
      </c>
      <c r="C68" s="5" t="s">
        <v>219</v>
      </c>
      <c r="D68" s="4">
        <v>-1082</v>
      </c>
      <c r="E68" s="4">
        <v>0</v>
      </c>
      <c r="F68" s="4">
        <v>1082</v>
      </c>
      <c r="G68" s="4">
        <f>D68+E68-F68</f>
      </c>
    </row>
    <row r="69" spans="1:7" x14ac:dyDescent="0.25">
      <c r="A69" s="5" t="s">
        <v>15</v>
      </c>
      <c r="B69" s="5" t="s">
        <v>105</v>
      </c>
      <c r="C69" s="5" t="s">
        <v>106</v>
      </c>
      <c r="D69" s="4">
        <v>12</v>
      </c>
      <c r="E69" s="4">
        <v>12</v>
      </c>
      <c r="F69" s="4">
        <v>0</v>
      </c>
      <c r="G69" s="4">
        <f>D69+E69-F69</f>
      </c>
    </row>
    <row r="70" spans="1:7" x14ac:dyDescent="0.25">
      <c r="A70" s="5" t="s">
        <v>15</v>
      </c>
      <c r="B70" s="5" t="s">
        <v>178</v>
      </c>
      <c r="C70" s="5" t="s">
        <v>179</v>
      </c>
      <c r="D70" s="4">
        <v>-2.507548275862069</v>
      </c>
      <c r="E70" s="4">
        <v>0</v>
      </c>
      <c r="F70" s="4">
        <v>2.507548275862069</v>
      </c>
      <c r="G70" s="4">
        <f>D70+E70-F70</f>
      </c>
    </row>
    <row r="71" spans="1:7" x14ac:dyDescent="0.25">
      <c r="A71" s="5" t="s">
        <v>15</v>
      </c>
      <c r="B71" s="5" t="s">
        <v>41</v>
      </c>
      <c r="C71" s="5" t="s">
        <v>42</v>
      </c>
      <c r="D71" s="4">
        <v>29</v>
      </c>
      <c r="E71" s="4">
        <v>72</v>
      </c>
      <c r="F71" s="4">
        <v>43</v>
      </c>
      <c r="G71" s="4">
        <f>D71+E71-F71</f>
      </c>
    </row>
    <row r="72" spans="1:7" x14ac:dyDescent="0.25">
      <c r="A72" s="5" t="s">
        <v>15</v>
      </c>
      <c r="B72" s="5" t="s">
        <v>151</v>
      </c>
      <c r="C72" s="5" t="s">
        <v>152</v>
      </c>
      <c r="D72" s="4">
        <v>40</v>
      </c>
      <c r="E72" s="4">
        <v>40</v>
      </c>
      <c r="F72" s="4">
        <v>0</v>
      </c>
      <c r="G72" s="4">
        <f>D72+E72-F72</f>
      </c>
    </row>
    <row r="73" spans="1:7" x14ac:dyDescent="0.25">
      <c r="A73" s="5" t="s">
        <v>15</v>
      </c>
      <c r="B73" s="5" t="s">
        <v>145</v>
      </c>
      <c r="C73" s="5" t="s">
        <v>146</v>
      </c>
      <c r="D73" s="4">
        <v>-79.79</v>
      </c>
      <c r="E73" s="4">
        <v>7</v>
      </c>
      <c r="F73" s="4">
        <v>86.79</v>
      </c>
      <c r="G73" s="4">
        <f>D73+E73-F73</f>
      </c>
    </row>
    <row r="74" spans="1:7" x14ac:dyDescent="0.25">
      <c r="A74" s="5" t="s">
        <v>15</v>
      </c>
      <c r="B74" s="5" t="s">
        <v>129</v>
      </c>
      <c r="C74" s="5" t="s">
        <v>130</v>
      </c>
      <c r="D74" s="4">
        <v>3</v>
      </c>
      <c r="E74" s="4">
        <v>3</v>
      </c>
      <c r="F74" s="4">
        <v>0</v>
      </c>
      <c r="G74" s="4">
        <f>D74+E74-F74</f>
      </c>
    </row>
    <row r="75" spans="1:7" x14ac:dyDescent="0.25">
      <c r="A75" s="5" t="s">
        <v>15</v>
      </c>
      <c r="B75" s="5" t="s">
        <v>89</v>
      </c>
      <c r="C75" s="5" t="s">
        <v>90</v>
      </c>
      <c r="D75" s="4">
        <v>24</v>
      </c>
      <c r="E75" s="4">
        <v>24</v>
      </c>
      <c r="F75" s="4">
        <v>0</v>
      </c>
      <c r="G75" s="4">
        <f>D75+E75-F75</f>
      </c>
    </row>
    <row r="76" spans="1:7" x14ac:dyDescent="0.25">
      <c r="A76" s="5" t="s">
        <v>15</v>
      </c>
      <c r="B76" s="5" t="s">
        <v>192</v>
      </c>
      <c r="C76" s="5" t="s">
        <v>193</v>
      </c>
      <c r="D76" s="4">
        <v>-3.747413793103448</v>
      </c>
      <c r="E76" s="4">
        <v>0</v>
      </c>
      <c r="F76" s="4">
        <v>3.747413793103448</v>
      </c>
      <c r="G76" s="4">
        <f>D76+E76-F76</f>
      </c>
    </row>
    <row r="77" spans="1:7" x14ac:dyDescent="0.25">
      <c r="A77" s="5" t="s">
        <v>15</v>
      </c>
      <c r="B77" s="5" t="s">
        <v>57</v>
      </c>
      <c r="C77" s="5" t="s">
        <v>58</v>
      </c>
      <c r="D77" s="4">
        <v>8</v>
      </c>
      <c r="E77" s="4">
        <v>8</v>
      </c>
      <c r="F77" s="4">
        <v>0</v>
      </c>
      <c r="G77" s="4">
        <f>D77+E77-F77</f>
      </c>
    </row>
    <row r="78" spans="1:7" x14ac:dyDescent="0.25">
      <c r="A78" s="5" t="s">
        <v>15</v>
      </c>
      <c r="B78" s="5" t="s">
        <v>200</v>
      </c>
      <c r="C78" s="5" t="s">
        <v>201</v>
      </c>
      <c r="D78" s="4">
        <v>-9.624137931034483</v>
      </c>
      <c r="E78" s="4">
        <v>0</v>
      </c>
      <c r="F78" s="4">
        <v>9.624137931034483</v>
      </c>
      <c r="G78" s="4">
        <f>D78+E78-F78</f>
      </c>
    </row>
    <row r="79" spans="1:7" x14ac:dyDescent="0.25">
      <c r="A79" s="5" t="s">
        <v>15</v>
      </c>
      <c r="B79" s="5" t="s">
        <v>31</v>
      </c>
      <c r="C79" s="5" t="s">
        <v>32</v>
      </c>
      <c r="D79" s="4">
        <v>2</v>
      </c>
      <c r="E79" s="4">
        <v>2</v>
      </c>
      <c r="F79" s="4">
        <v>0</v>
      </c>
      <c r="G79" s="4">
        <f>D79+E79-F79</f>
      </c>
    </row>
    <row r="80" spans="1:7" x14ac:dyDescent="0.25">
      <c r="A80" s="5" t="s">
        <v>15</v>
      </c>
      <c r="B80" s="5" t="s">
        <v>208</v>
      </c>
      <c r="C80" s="5" t="s">
        <v>209</v>
      </c>
      <c r="D80" s="4">
        <v>-21.2</v>
      </c>
      <c r="E80" s="4">
        <v>0</v>
      </c>
      <c r="F80" s="4">
        <v>21.2</v>
      </c>
      <c r="G80" s="4">
        <f>D80+E80-F80</f>
      </c>
    </row>
    <row r="81" spans="1:7" x14ac:dyDescent="0.25">
      <c r="A81" s="5" t="s">
        <v>15</v>
      </c>
      <c r="B81" s="5" t="s">
        <v>125</v>
      </c>
      <c r="C81" s="5" t="s">
        <v>126</v>
      </c>
      <c r="D81" s="4">
        <v>604</v>
      </c>
      <c r="E81" s="4">
        <v>1208</v>
      </c>
      <c r="F81" s="4">
        <v>0</v>
      </c>
      <c r="G81" s="4">
        <f>D81+E81-F81</f>
      </c>
    </row>
    <row r="82" spans="1:7" x14ac:dyDescent="0.25">
      <c r="A82" s="5" t="s">
        <v>15</v>
      </c>
      <c r="B82" s="5" t="s">
        <v>123</v>
      </c>
      <c r="C82" s="5" t="s">
        <v>124</v>
      </c>
      <c r="D82" s="4">
        <v>20</v>
      </c>
      <c r="E82" s="4">
        <v>20</v>
      </c>
      <c r="F82" s="4">
        <v>0</v>
      </c>
      <c r="G82" s="4">
        <f>D82+E82-F82</f>
      </c>
    </row>
    <row r="83" spans="1:7" x14ac:dyDescent="0.25">
      <c r="A83" s="5" t="s">
        <v>15</v>
      </c>
      <c r="B83" s="5" t="s">
        <v>61</v>
      </c>
      <c r="C83" s="5" t="s">
        <v>62</v>
      </c>
      <c r="D83" s="4">
        <v>-576.95</v>
      </c>
      <c r="E83" s="4">
        <v>48</v>
      </c>
      <c r="F83" s="4">
        <v>624.95</v>
      </c>
      <c r="G83" s="4">
        <f>D83+E83-F83</f>
      </c>
    </row>
    <row r="84" spans="1:7" x14ac:dyDescent="0.25">
      <c r="A84" s="5" t="s">
        <v>15</v>
      </c>
      <c r="B84" s="5" t="s">
        <v>49</v>
      </c>
      <c r="C84" s="5" t="s">
        <v>50</v>
      </c>
      <c r="D84" s="4">
        <v>1</v>
      </c>
      <c r="E84" s="4">
        <v>1</v>
      </c>
      <c r="F84" s="4">
        <v>0</v>
      </c>
      <c r="G84" s="4">
        <f>D84+E84-F84</f>
      </c>
    </row>
    <row r="85" spans="1:7" x14ac:dyDescent="0.25">
      <c r="A85" s="5" t="s">
        <v>15</v>
      </c>
      <c r="B85" s="5" t="s">
        <v>29</v>
      </c>
      <c r="C85" s="5" t="s">
        <v>30</v>
      </c>
      <c r="D85" s="4">
        <v>6</v>
      </c>
      <c r="E85" s="4">
        <v>6</v>
      </c>
      <c r="F85" s="4">
        <v>0</v>
      </c>
      <c r="G85" s="4">
        <f>D85+E85-F85</f>
      </c>
    </row>
    <row r="86" spans="1:7" x14ac:dyDescent="0.25">
      <c r="A86" s="5" t="s">
        <v>15</v>
      </c>
      <c r="B86" s="5" t="s">
        <v>33</v>
      </c>
      <c r="C86" s="5" t="s">
        <v>34</v>
      </c>
      <c r="D86" s="4">
        <v>-72.27500000000002</v>
      </c>
      <c r="E86" s="4">
        <v>18</v>
      </c>
      <c r="F86" s="4">
        <v>90.27500000000002</v>
      </c>
      <c r="G86" s="4">
        <f>D86+E86-F86</f>
      </c>
    </row>
    <row r="87" spans="1:7" x14ac:dyDescent="0.25">
      <c r="A87" s="5" t="s">
        <v>15</v>
      </c>
      <c r="B87" s="5" t="s">
        <v>99</v>
      </c>
      <c r="C87" s="5" t="s">
        <v>100</v>
      </c>
      <c r="D87" s="4">
        <v>64</v>
      </c>
      <c r="E87" s="4">
        <v>128</v>
      </c>
      <c r="F87" s="4">
        <v>0</v>
      </c>
      <c r="G87" s="4">
        <f>D87+E87-F87</f>
      </c>
    </row>
    <row r="88" spans="1:7" x14ac:dyDescent="0.25">
      <c r="A88" s="5" t="s">
        <v>15</v>
      </c>
      <c r="B88" s="5" t="s">
        <v>133</v>
      </c>
      <c r="C88" s="5" t="s">
        <v>134</v>
      </c>
      <c r="D88" s="4">
        <v>64</v>
      </c>
      <c r="E88" s="4">
        <v>64</v>
      </c>
      <c r="F88" s="4">
        <v>0</v>
      </c>
      <c r="G88" s="4">
        <f>D88+E88-F88</f>
      </c>
    </row>
    <row r="89" spans="1:7" x14ac:dyDescent="0.25">
      <c r="A89" s="5" t="s">
        <v>15</v>
      </c>
      <c r="B89" s="5" t="s">
        <v>109</v>
      </c>
      <c r="C89" s="5" t="s">
        <v>110</v>
      </c>
      <c r="D89" s="4">
        <v>-161.85500000000002</v>
      </c>
      <c r="E89" s="4">
        <v>8</v>
      </c>
      <c r="F89" s="4">
        <v>3361.855</v>
      </c>
      <c r="G89" s="4">
        <f>D89+E89-F89</f>
      </c>
    </row>
    <row r="90" spans="1:7" x14ac:dyDescent="0.25">
      <c r="A90" s="5" t="s">
        <v>15</v>
      </c>
      <c r="B90" s="5" t="s">
        <v>242</v>
      </c>
      <c r="C90" s="5" t="s">
        <v>243</v>
      </c>
      <c r="D90" s="4">
        <v>-17.72586206896552</v>
      </c>
      <c r="E90" s="4">
        <v>0</v>
      </c>
      <c r="F90" s="4">
        <v>17.72586206896552</v>
      </c>
      <c r="G90" s="4">
        <f>D90+E90-F90</f>
      </c>
    </row>
    <row r="91" spans="1:7" x14ac:dyDescent="0.25">
      <c r="A91" s="5" t="s">
        <v>15</v>
      </c>
      <c r="B91" s="5" t="s">
        <v>17</v>
      </c>
      <c r="C91" s="5" t="s">
        <v>18</v>
      </c>
      <c r="D91" s="4">
        <v>16</v>
      </c>
      <c r="E91" s="4">
        <v>16</v>
      </c>
      <c r="F91" s="4">
        <v>0</v>
      </c>
      <c r="G91" s="4">
        <f>D91+E91-F91</f>
      </c>
    </row>
    <row r="92" spans="1:7" x14ac:dyDescent="0.25">
      <c r="A92" s="5" t="s">
        <v>15</v>
      </c>
      <c r="B92" s="5" t="s">
        <v>234</v>
      </c>
      <c r="C92" s="5" t="s">
        <v>235</v>
      </c>
      <c r="D92" s="4">
        <v>-7.3</v>
      </c>
      <c r="E92" s="4">
        <v>0</v>
      </c>
      <c r="F92" s="4">
        <v>7.3</v>
      </c>
      <c r="G92" s="4">
        <f>D92+E92-F92</f>
      </c>
    </row>
    <row r="93" spans="1:7" x14ac:dyDescent="0.25">
      <c r="A93" s="5" t="s">
        <v>15</v>
      </c>
      <c r="B93" s="5" t="s">
        <v>240</v>
      </c>
      <c r="C93" s="5" t="s">
        <v>241</v>
      </c>
      <c r="D93" s="4">
        <v>-65.5596551724138</v>
      </c>
      <c r="E93" s="4">
        <v>0</v>
      </c>
      <c r="F93" s="4">
        <v>65.5596551724138</v>
      </c>
      <c r="G93" s="4">
        <f>D93+E93-F93</f>
      </c>
    </row>
    <row r="94" spans="1:7" x14ac:dyDescent="0.25">
      <c r="A94" s="5" t="s">
        <v>15</v>
      </c>
      <c r="B94" s="5" t="s">
        <v>87</v>
      </c>
      <c r="C94" s="5" t="s">
        <v>88</v>
      </c>
      <c r="D94" s="4">
        <v>120</v>
      </c>
      <c r="E94" s="4">
        <v>240</v>
      </c>
      <c r="F94" s="4">
        <v>0</v>
      </c>
      <c r="G94" s="4">
        <f>D94+E94-F94</f>
      </c>
    </row>
    <row r="95" spans="1:7" x14ac:dyDescent="0.25">
      <c r="A95" s="5" t="s">
        <v>15</v>
      </c>
      <c r="B95" s="5" t="s">
        <v>24</v>
      </c>
      <c r="C95" s="5" t="s">
        <v>25</v>
      </c>
      <c r="D95" s="4">
        <v>-1641</v>
      </c>
      <c r="E95" s="4">
        <v>81</v>
      </c>
      <c r="F95" s="4">
        <v>1722</v>
      </c>
      <c r="G95" s="4">
        <f>D95+E95-F95</f>
      </c>
    </row>
    <row r="96" spans="1:7" x14ac:dyDescent="0.25">
      <c r="A96" s="5" t="s">
        <v>15</v>
      </c>
      <c r="B96" s="5" t="s">
        <v>77</v>
      </c>
      <c r="C96" s="5" t="s">
        <v>78</v>
      </c>
      <c r="D96" s="4">
        <v>109</v>
      </c>
      <c r="E96" s="4">
        <v>109</v>
      </c>
      <c r="F96" s="4">
        <v>0</v>
      </c>
      <c r="G96" s="4">
        <f>D96+E96-F96</f>
      </c>
    </row>
    <row r="97" spans="1:7" x14ac:dyDescent="0.25">
      <c r="A97" s="5" t="s">
        <v>15</v>
      </c>
      <c r="B97" s="5" t="s">
        <v>141</v>
      </c>
      <c r="C97" s="5" t="s">
        <v>142</v>
      </c>
      <c r="D97" s="4">
        <v>50</v>
      </c>
      <c r="E97" s="4">
        <v>50</v>
      </c>
      <c r="F97" s="4">
        <v>0</v>
      </c>
      <c r="G97" s="4">
        <f>D97+E97-F97</f>
      </c>
    </row>
    <row r="98" spans="1:7" x14ac:dyDescent="0.25">
      <c r="A98" s="5" t="s">
        <v>15</v>
      </c>
      <c r="B98" s="5" t="s">
        <v>248</v>
      </c>
      <c r="C98" s="5" t="s">
        <v>249</v>
      </c>
      <c r="D98" s="4">
        <v>-477.1724137931035</v>
      </c>
      <c r="E98" s="4">
        <v>0</v>
      </c>
      <c r="F98" s="4">
        <v>477.1724137931035</v>
      </c>
      <c r="G98" s="4">
        <f>D98+E98-F98</f>
      </c>
    </row>
    <row r="99" spans="1:7" x14ac:dyDescent="0.25">
      <c r="A99" s="5" t="s">
        <v>15</v>
      </c>
      <c r="B99" s="5" t="s">
        <v>147</v>
      </c>
      <c r="C99" s="5" t="s">
        <v>148</v>
      </c>
      <c r="D99" s="4">
        <v>20</v>
      </c>
      <c r="E99" s="4">
        <v>20</v>
      </c>
      <c r="F99" s="4">
        <v>0</v>
      </c>
      <c r="G99" s="4">
        <f>D99+E99-F99</f>
      </c>
    </row>
    <row r="100" spans="1:7" x14ac:dyDescent="0.25">
      <c r="A100" s="5" t="s">
        <v>15</v>
      </c>
      <c r="B100" s="5" t="s">
        <v>176</v>
      </c>
      <c r="C100" s="5" t="s">
        <v>177</v>
      </c>
      <c r="D100" s="4">
        <v>-12.902155172413794</v>
      </c>
      <c r="E100" s="4">
        <v>0</v>
      </c>
      <c r="F100" s="4">
        <v>12.902155172413794</v>
      </c>
      <c r="G100" s="4">
        <f>D100+E100-F100</f>
      </c>
    </row>
    <row r="101" spans="1:7" x14ac:dyDescent="0.25">
      <c r="A101" s="5" t="s">
        <v>15</v>
      </c>
      <c r="B101" s="5" t="s">
        <v>238</v>
      </c>
      <c r="C101" s="5" t="s">
        <v>239</v>
      </c>
      <c r="D101" s="4">
        <v>-8679</v>
      </c>
      <c r="E101" s="4">
        <v>0</v>
      </c>
      <c r="F101" s="4">
        <v>8679</v>
      </c>
      <c r="G101" s="4">
        <f>D101+E101-F101</f>
      </c>
    </row>
    <row r="102" spans="1:7" x14ac:dyDescent="0.25">
      <c r="A102" s="5" t="s">
        <v>15</v>
      </c>
      <c r="B102" s="5" t="s">
        <v>73</v>
      </c>
      <c r="C102" s="5" t="s">
        <v>74</v>
      </c>
      <c r="D102" s="4">
        <v>-95.16000000000003</v>
      </c>
      <c r="E102" s="4">
        <v>252</v>
      </c>
      <c r="F102" s="4">
        <v>347.16</v>
      </c>
      <c r="G102" s="4">
        <f>D102+E102-F102</f>
      </c>
    </row>
    <row r="103" spans="3:7" x14ac:dyDescent="0.25">
      <c r="C103" s="6" t="s">
        <v>153</v>
      </c>
      <c r="E103" s="7">
        <f>SUM(E2:E102)</f>
      </c>
      <c r="F103" s="7">
        <f>SUM(F2:F102)</f>
      </c>
      <c r="G103" s="7">
        <f>SUM(G2:G102)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0" customWidth="1"/>
    <col min="4" max="4" width="14" customWidth="1"/>
    <col min="5" max="5" width="16" customWidth="1"/>
    <col min="6" max="6" width="40" customWidth="1"/>
    <col min="7" max="8" width="14" customWidth="1"/>
  </cols>
  <sheetData>
    <row r="1" ht="24" customHeight="1" spans="1:8" x14ac:dyDescent="0.25">
      <c r="A1" s="1" t="s">
        <v>0</v>
      </c>
      <c r="B1" s="1" t="s">
        <v>284</v>
      </c>
      <c r="C1" s="1" t="s">
        <v>285</v>
      </c>
      <c r="D1" s="1" t="s">
        <v>250</v>
      </c>
      <c r="E1" s="1" t="s">
        <v>286</v>
      </c>
      <c r="F1" s="1" t="s">
        <v>283</v>
      </c>
      <c r="G1" s="1" t="s">
        <v>287</v>
      </c>
      <c r="H1" s="1" t="s">
        <v>288</v>
      </c>
    </row>
    <row r="2" spans="1:8" x14ac:dyDescent="0.25">
      <c r="A2" s="5" t="s">
        <v>15</v>
      </c>
      <c r="B2" s="5" t="s">
        <v>39</v>
      </c>
      <c r="C2" s="5" t="s">
        <v>40</v>
      </c>
      <c r="D2" s="4">
        <v>963</v>
      </c>
      <c r="E2" s="5" t="s">
        <v>39</v>
      </c>
      <c r="F2" s="5" t="s">
        <v>40</v>
      </c>
      <c r="G2" s="4">
        <v>1</v>
      </c>
      <c r="H2" s="4">
        <v>963</v>
      </c>
    </row>
    <row r="3" spans="1:8" x14ac:dyDescent="0.25">
      <c r="A3" s="5" t="s">
        <v>15</v>
      </c>
      <c r="B3" s="5" t="s">
        <v>69</v>
      </c>
      <c r="C3" s="5" t="s">
        <v>70</v>
      </c>
      <c r="D3" s="4">
        <v>257</v>
      </c>
      <c r="E3" s="5" t="s">
        <v>69</v>
      </c>
      <c r="F3" s="5" t="s">
        <v>70</v>
      </c>
      <c r="G3" s="4">
        <v>1</v>
      </c>
      <c r="H3" s="4">
        <v>257</v>
      </c>
    </row>
    <row r="4" spans="1:8" x14ac:dyDescent="0.25">
      <c r="A4" s="5" t="s">
        <v>15</v>
      </c>
      <c r="B4" s="5" t="s">
        <v>228</v>
      </c>
      <c r="C4" s="5" t="s">
        <v>229</v>
      </c>
      <c r="D4" s="4">
        <v>1</v>
      </c>
      <c r="E4" s="5" t="s">
        <v>228</v>
      </c>
      <c r="F4" s="5" t="s">
        <v>229</v>
      </c>
      <c r="G4" s="4">
        <v>1</v>
      </c>
      <c r="H4" s="4">
        <v>1</v>
      </c>
    </row>
    <row r="5" spans="1:8" x14ac:dyDescent="0.25">
      <c r="A5" s="5" t="s">
        <v>15</v>
      </c>
      <c r="B5" s="5" t="s">
        <v>186</v>
      </c>
      <c r="C5" s="5" t="s">
        <v>187</v>
      </c>
      <c r="D5" s="4">
        <v>53</v>
      </c>
      <c r="E5" s="5" t="s">
        <v>186</v>
      </c>
      <c r="F5" s="5" t="s">
        <v>187</v>
      </c>
      <c r="G5" s="4">
        <v>1</v>
      </c>
      <c r="H5" s="4">
        <v>53</v>
      </c>
    </row>
    <row r="6" spans="1:8" x14ac:dyDescent="0.25">
      <c r="A6" s="5" t="s">
        <v>15</v>
      </c>
      <c r="B6" s="5" t="s">
        <v>63</v>
      </c>
      <c r="C6" s="5" t="s">
        <v>64</v>
      </c>
      <c r="D6" s="4">
        <v>114</v>
      </c>
      <c r="E6" s="5" t="s">
        <v>63</v>
      </c>
      <c r="F6" s="5" t="s">
        <v>64</v>
      </c>
      <c r="G6" s="4">
        <v>1</v>
      </c>
      <c r="H6" s="4">
        <v>114</v>
      </c>
    </row>
    <row r="7" spans="1:8" x14ac:dyDescent="0.25">
      <c r="A7" s="5" t="s">
        <v>15</v>
      </c>
      <c r="B7" s="5" t="s">
        <v>59</v>
      </c>
      <c r="C7" s="5" t="s">
        <v>60</v>
      </c>
      <c r="D7" s="4">
        <v>85</v>
      </c>
      <c r="E7" s="5" t="s">
        <v>59</v>
      </c>
      <c r="F7" s="5" t="s">
        <v>60</v>
      </c>
      <c r="G7" s="4">
        <v>1</v>
      </c>
      <c r="H7" s="4">
        <v>85</v>
      </c>
    </row>
    <row r="8" spans="1:8" x14ac:dyDescent="0.25">
      <c r="A8" s="5" t="s">
        <v>15</v>
      </c>
      <c r="B8" s="5" t="s">
        <v>53</v>
      </c>
      <c r="C8" s="5" t="s">
        <v>54</v>
      </c>
      <c r="D8" s="4">
        <v>802</v>
      </c>
      <c r="E8" s="5" t="s">
        <v>53</v>
      </c>
      <c r="F8" s="5" t="s">
        <v>54</v>
      </c>
      <c r="G8" s="4">
        <v>1</v>
      </c>
      <c r="H8" s="4">
        <v>802</v>
      </c>
    </row>
    <row r="9" spans="1:8" x14ac:dyDescent="0.25">
      <c r="A9" s="5" t="s">
        <v>15</v>
      </c>
      <c r="B9" s="5" t="s">
        <v>75</v>
      </c>
      <c r="C9" s="5" t="s">
        <v>76</v>
      </c>
      <c r="D9" s="4">
        <v>690</v>
      </c>
      <c r="E9" s="5" t="s">
        <v>182</v>
      </c>
      <c r="F9" s="5" t="s">
        <v>183</v>
      </c>
      <c r="G9" s="4">
        <v>0.004655172413793104</v>
      </c>
      <c r="H9" s="4">
        <v>3.2120689655172416</v>
      </c>
    </row>
    <row r="10" spans="1:8" x14ac:dyDescent="0.25">
      <c r="A10" s="5" t="s">
        <v>15</v>
      </c>
      <c r="B10" s="5" t="s">
        <v>75</v>
      </c>
      <c r="C10" s="5" t="s">
        <v>76</v>
      </c>
      <c r="D10" s="4">
        <v>690</v>
      </c>
      <c r="E10" s="5" t="s">
        <v>232</v>
      </c>
      <c r="F10" s="5" t="s">
        <v>233</v>
      </c>
      <c r="G10" s="4">
        <v>0.0010344827586206897</v>
      </c>
      <c r="H10" s="4">
        <v>0.7137931034482758</v>
      </c>
    </row>
    <row r="11" spans="1:8" x14ac:dyDescent="0.25">
      <c r="A11" s="5" t="s">
        <v>15</v>
      </c>
      <c r="B11" s="5" t="s">
        <v>75</v>
      </c>
      <c r="C11" s="5" t="s">
        <v>76</v>
      </c>
      <c r="D11" s="4">
        <v>690</v>
      </c>
      <c r="E11" s="5" t="s">
        <v>230</v>
      </c>
      <c r="F11" s="5" t="s">
        <v>231</v>
      </c>
      <c r="G11" s="4">
        <v>0.03017241379310345</v>
      </c>
      <c r="H11" s="4">
        <v>20.81896551724138</v>
      </c>
    </row>
    <row r="12" spans="1:8" x14ac:dyDescent="0.25">
      <c r="A12" s="5" t="s">
        <v>15</v>
      </c>
      <c r="B12" s="5" t="s">
        <v>75</v>
      </c>
      <c r="C12" s="5" t="s">
        <v>76</v>
      </c>
      <c r="D12" s="4">
        <v>690</v>
      </c>
      <c r="E12" s="5" t="s">
        <v>198</v>
      </c>
      <c r="F12" s="5" t="s">
        <v>199</v>
      </c>
      <c r="G12" s="4">
        <v>0.0022758620689655173</v>
      </c>
      <c r="H12" s="4">
        <v>1.570344827586207</v>
      </c>
    </row>
    <row r="13" spans="1:8" x14ac:dyDescent="0.25">
      <c r="A13" s="5" t="s">
        <v>15</v>
      </c>
      <c r="B13" s="5" t="s">
        <v>75</v>
      </c>
      <c r="C13" s="5" t="s">
        <v>76</v>
      </c>
      <c r="D13" s="4">
        <v>690</v>
      </c>
      <c r="E13" s="5" t="s">
        <v>168</v>
      </c>
      <c r="F13" s="5" t="s">
        <v>169</v>
      </c>
      <c r="G13" s="4">
        <v>0.004379310344827587</v>
      </c>
      <c r="H13" s="4">
        <v>3.021724137931035</v>
      </c>
    </row>
    <row r="14" spans="1:8" x14ac:dyDescent="0.25">
      <c r="A14" s="5" t="s">
        <v>15</v>
      </c>
      <c r="B14" s="5" t="s">
        <v>75</v>
      </c>
      <c r="C14" s="5" t="s">
        <v>76</v>
      </c>
      <c r="D14" s="4">
        <v>690</v>
      </c>
      <c r="E14" s="5" t="s">
        <v>216</v>
      </c>
      <c r="F14" s="5" t="s">
        <v>217</v>
      </c>
      <c r="G14" s="4">
        <v>0.05344827586206897</v>
      </c>
      <c r="H14" s="4">
        <v>36.87931034482759</v>
      </c>
    </row>
    <row r="15" spans="1:8" x14ac:dyDescent="0.25">
      <c r="A15" s="5" t="s">
        <v>15</v>
      </c>
      <c r="B15" s="5" t="s">
        <v>75</v>
      </c>
      <c r="C15" s="5" t="s">
        <v>76</v>
      </c>
      <c r="D15" s="4">
        <v>690</v>
      </c>
      <c r="E15" s="5" t="s">
        <v>178</v>
      </c>
      <c r="F15" s="5" t="s">
        <v>179</v>
      </c>
      <c r="G15" s="4">
        <v>0.0016724137931034483</v>
      </c>
      <c r="H15" s="4">
        <v>1.1539655172413794</v>
      </c>
    </row>
    <row r="16" spans="1:8" x14ac:dyDescent="0.25">
      <c r="A16" s="5" t="s">
        <v>15</v>
      </c>
      <c r="B16" s="5" t="s">
        <v>75</v>
      </c>
      <c r="C16" s="5" t="s">
        <v>76</v>
      </c>
      <c r="D16" s="4">
        <v>690</v>
      </c>
      <c r="E16" s="5" t="s">
        <v>192</v>
      </c>
      <c r="F16" s="5" t="s">
        <v>193</v>
      </c>
      <c r="G16" s="4">
        <v>0.005431034482758621</v>
      </c>
      <c r="H16" s="4">
        <v>3.747413793103448</v>
      </c>
    </row>
    <row r="17" spans="1:8" x14ac:dyDescent="0.25">
      <c r="A17" s="5" t="s">
        <v>15</v>
      </c>
      <c r="B17" s="5" t="s">
        <v>75</v>
      </c>
      <c r="C17" s="5" t="s">
        <v>76</v>
      </c>
      <c r="D17" s="4">
        <v>690</v>
      </c>
      <c r="E17" s="5" t="s">
        <v>242</v>
      </c>
      <c r="F17" s="5" t="s">
        <v>243</v>
      </c>
      <c r="G17" s="4">
        <v>0.025689655172413794</v>
      </c>
      <c r="H17" s="4">
        <v>17.72586206896552</v>
      </c>
    </row>
    <row r="18" spans="1:8" x14ac:dyDescent="0.25">
      <c r="A18" s="5" t="s">
        <v>15</v>
      </c>
      <c r="B18" s="5" t="s">
        <v>75</v>
      </c>
      <c r="C18" s="5" t="s">
        <v>76</v>
      </c>
      <c r="D18" s="4">
        <v>690</v>
      </c>
      <c r="E18" s="5" t="s">
        <v>240</v>
      </c>
      <c r="F18" s="5" t="s">
        <v>241</v>
      </c>
      <c r="G18" s="4">
        <v>0.034482758620689655</v>
      </c>
      <c r="H18" s="4">
        <v>23.79310344827586</v>
      </c>
    </row>
    <row r="19" spans="1:8" x14ac:dyDescent="0.25">
      <c r="A19" s="5" t="s">
        <v>15</v>
      </c>
      <c r="B19" s="5" t="s">
        <v>75</v>
      </c>
      <c r="C19" s="5" t="s">
        <v>76</v>
      </c>
      <c r="D19" s="4">
        <v>690</v>
      </c>
      <c r="E19" s="5" t="s">
        <v>248</v>
      </c>
      <c r="F19" s="5" t="s">
        <v>249</v>
      </c>
      <c r="G19" s="4">
        <v>0.25862068965517243</v>
      </c>
      <c r="H19" s="4">
        <v>178.44827586206898</v>
      </c>
    </row>
    <row r="20" spans="1:8" x14ac:dyDescent="0.25">
      <c r="A20" s="5" t="s">
        <v>15</v>
      </c>
      <c r="B20" s="5" t="s">
        <v>263</v>
      </c>
      <c r="C20" s="5" t="s">
        <v>264</v>
      </c>
      <c r="D20" s="4">
        <v>1</v>
      </c>
      <c r="E20" s="5" t="s">
        <v>214</v>
      </c>
      <c r="F20" s="5" t="s">
        <v>215</v>
      </c>
      <c r="G20" s="4">
        <v>0.002</v>
      </c>
      <c r="H20" s="4">
        <v>0.002</v>
      </c>
    </row>
    <row r="21" spans="1:8" x14ac:dyDescent="0.25">
      <c r="A21" s="5" t="s">
        <v>15</v>
      </c>
      <c r="B21" s="5" t="s">
        <v>263</v>
      </c>
      <c r="C21" s="5" t="s">
        <v>264</v>
      </c>
      <c r="D21" s="4">
        <v>1</v>
      </c>
      <c r="E21" s="5" t="s">
        <v>230</v>
      </c>
      <c r="F21" s="5" t="s">
        <v>231</v>
      </c>
      <c r="G21" s="4">
        <v>0.02</v>
      </c>
      <c r="H21" s="4">
        <v>0.02</v>
      </c>
    </row>
    <row r="22" spans="1:8" x14ac:dyDescent="0.25">
      <c r="A22" s="5" t="s">
        <v>15</v>
      </c>
      <c r="B22" s="5" t="s">
        <v>263</v>
      </c>
      <c r="C22" s="5" t="s">
        <v>264</v>
      </c>
      <c r="D22" s="4">
        <v>1</v>
      </c>
      <c r="E22" s="5" t="s">
        <v>158</v>
      </c>
      <c r="F22" s="5" t="s">
        <v>159</v>
      </c>
      <c r="G22" s="4">
        <v>0.046</v>
      </c>
      <c r="H22" s="4">
        <v>0.046</v>
      </c>
    </row>
    <row r="23" spans="1:8" x14ac:dyDescent="0.25">
      <c r="A23" s="5" t="s">
        <v>15</v>
      </c>
      <c r="B23" s="5" t="s">
        <v>263</v>
      </c>
      <c r="C23" s="5" t="s">
        <v>264</v>
      </c>
      <c r="D23" s="4">
        <v>1</v>
      </c>
      <c r="E23" s="5" t="s">
        <v>198</v>
      </c>
      <c r="F23" s="5" t="s">
        <v>199</v>
      </c>
      <c r="G23" s="4">
        <v>0.0012</v>
      </c>
      <c r="H23" s="4">
        <v>0.0012</v>
      </c>
    </row>
    <row r="24" spans="1:8" x14ac:dyDescent="0.25">
      <c r="A24" s="5" t="s">
        <v>15</v>
      </c>
      <c r="B24" s="5" t="s">
        <v>263</v>
      </c>
      <c r="C24" s="5" t="s">
        <v>264</v>
      </c>
      <c r="D24" s="4">
        <v>1</v>
      </c>
      <c r="E24" s="5" t="s">
        <v>51</v>
      </c>
      <c r="F24" s="5" t="s">
        <v>52</v>
      </c>
      <c r="G24" s="4">
        <v>0.1</v>
      </c>
      <c r="H24" s="4">
        <v>0.1</v>
      </c>
    </row>
    <row r="25" spans="1:8" x14ac:dyDescent="0.25">
      <c r="A25" s="5" t="s">
        <v>15</v>
      </c>
      <c r="B25" s="5" t="s">
        <v>263</v>
      </c>
      <c r="C25" s="5" t="s">
        <v>264</v>
      </c>
      <c r="D25" s="4">
        <v>1</v>
      </c>
      <c r="E25" s="5" t="s">
        <v>224</v>
      </c>
      <c r="F25" s="5" t="s">
        <v>225</v>
      </c>
      <c r="G25" s="4">
        <v>0.0028000000000000004</v>
      </c>
      <c r="H25" s="4">
        <v>0.0028000000000000004</v>
      </c>
    </row>
    <row r="26" spans="1:8" x14ac:dyDescent="0.25">
      <c r="A26" s="5" t="s">
        <v>15</v>
      </c>
      <c r="B26" s="5" t="s">
        <v>263</v>
      </c>
      <c r="C26" s="5" t="s">
        <v>264</v>
      </c>
      <c r="D26" s="4">
        <v>1</v>
      </c>
      <c r="E26" s="5" t="s">
        <v>168</v>
      </c>
      <c r="F26" s="5" t="s">
        <v>169</v>
      </c>
      <c r="G26" s="4">
        <v>0.01</v>
      </c>
      <c r="H26" s="4">
        <v>0.01</v>
      </c>
    </row>
    <row r="27" spans="1:8" x14ac:dyDescent="0.25">
      <c r="A27" s="5" t="s">
        <v>15</v>
      </c>
      <c r="B27" s="5" t="s">
        <v>263</v>
      </c>
      <c r="C27" s="5" t="s">
        <v>264</v>
      </c>
      <c r="D27" s="4">
        <v>1</v>
      </c>
      <c r="E27" s="5" t="s">
        <v>216</v>
      </c>
      <c r="F27" s="5" t="s">
        <v>217</v>
      </c>
      <c r="G27" s="4">
        <v>0.03</v>
      </c>
      <c r="H27" s="4">
        <v>0.03</v>
      </c>
    </row>
    <row r="28" spans="1:8" x14ac:dyDescent="0.25">
      <c r="A28" s="5" t="s">
        <v>15</v>
      </c>
      <c r="B28" s="5" t="s">
        <v>263</v>
      </c>
      <c r="C28" s="5" t="s">
        <v>264</v>
      </c>
      <c r="D28" s="4">
        <v>1</v>
      </c>
      <c r="E28" s="5" t="s">
        <v>178</v>
      </c>
      <c r="F28" s="5" t="s">
        <v>179</v>
      </c>
      <c r="G28" s="4">
        <v>0.0006</v>
      </c>
      <c r="H28" s="4">
        <v>0.0006</v>
      </c>
    </row>
    <row r="29" spans="1:8" x14ac:dyDescent="0.25">
      <c r="A29" s="5" t="s">
        <v>15</v>
      </c>
      <c r="B29" s="5" t="s">
        <v>263</v>
      </c>
      <c r="C29" s="5" t="s">
        <v>264</v>
      </c>
      <c r="D29" s="4">
        <v>1</v>
      </c>
      <c r="E29" s="5" t="s">
        <v>240</v>
      </c>
      <c r="F29" s="5" t="s">
        <v>241</v>
      </c>
      <c r="G29" s="4">
        <v>0.08</v>
      </c>
      <c r="H29" s="4">
        <v>0.08</v>
      </c>
    </row>
    <row r="30" spans="1:8" x14ac:dyDescent="0.25">
      <c r="A30" s="5" t="s">
        <v>15</v>
      </c>
      <c r="B30" s="5" t="s">
        <v>37</v>
      </c>
      <c r="C30" s="5" t="s">
        <v>38</v>
      </c>
      <c r="D30" s="4">
        <v>23</v>
      </c>
      <c r="E30" s="5" t="s">
        <v>37</v>
      </c>
      <c r="F30" s="5" t="s">
        <v>38</v>
      </c>
      <c r="G30" s="4">
        <v>1</v>
      </c>
      <c r="H30" s="4">
        <v>23</v>
      </c>
    </row>
    <row r="31" spans="1:8" x14ac:dyDescent="0.25">
      <c r="A31" s="5" t="s">
        <v>15</v>
      </c>
      <c r="B31" s="5" t="s">
        <v>95</v>
      </c>
      <c r="C31" s="5" t="s">
        <v>96</v>
      </c>
      <c r="D31" s="4">
        <v>365</v>
      </c>
      <c r="E31" s="5" t="s">
        <v>214</v>
      </c>
      <c r="F31" s="5" t="s">
        <v>215</v>
      </c>
      <c r="G31" s="4">
        <v>0.005</v>
      </c>
      <c r="H31" s="4">
        <v>1.825</v>
      </c>
    </row>
    <row r="32" spans="1:8" x14ac:dyDescent="0.25">
      <c r="A32" s="5" t="s">
        <v>15</v>
      </c>
      <c r="B32" s="5" t="s">
        <v>95</v>
      </c>
      <c r="C32" s="5" t="s">
        <v>96</v>
      </c>
      <c r="D32" s="4">
        <v>365</v>
      </c>
      <c r="E32" s="5" t="s">
        <v>170</v>
      </c>
      <c r="F32" s="5" t="s">
        <v>171</v>
      </c>
      <c r="G32" s="4">
        <v>0.01</v>
      </c>
      <c r="H32" s="4">
        <v>3.65</v>
      </c>
    </row>
    <row r="33" spans="1:8" x14ac:dyDescent="0.25">
      <c r="A33" s="5" t="s">
        <v>15</v>
      </c>
      <c r="B33" s="5" t="s">
        <v>95</v>
      </c>
      <c r="C33" s="5" t="s">
        <v>96</v>
      </c>
      <c r="D33" s="4">
        <v>365</v>
      </c>
      <c r="E33" s="5" t="s">
        <v>230</v>
      </c>
      <c r="F33" s="5" t="s">
        <v>231</v>
      </c>
      <c r="G33" s="4">
        <v>0.1</v>
      </c>
      <c r="H33" s="4">
        <v>36.5</v>
      </c>
    </row>
    <row r="34" spans="1:8" x14ac:dyDescent="0.25">
      <c r="A34" s="5" t="s">
        <v>15</v>
      </c>
      <c r="B34" s="5" t="s">
        <v>95</v>
      </c>
      <c r="C34" s="5" t="s">
        <v>96</v>
      </c>
      <c r="D34" s="4">
        <v>365</v>
      </c>
      <c r="E34" s="5" t="s">
        <v>180</v>
      </c>
      <c r="F34" s="5" t="s">
        <v>181</v>
      </c>
      <c r="G34" s="4">
        <v>0.01</v>
      </c>
      <c r="H34" s="4">
        <v>3.65</v>
      </c>
    </row>
    <row r="35" spans="1:8" x14ac:dyDescent="0.25">
      <c r="A35" s="5" t="s">
        <v>15</v>
      </c>
      <c r="B35" s="5" t="s">
        <v>95</v>
      </c>
      <c r="C35" s="5" t="s">
        <v>96</v>
      </c>
      <c r="D35" s="4">
        <v>365</v>
      </c>
      <c r="E35" s="5" t="s">
        <v>160</v>
      </c>
      <c r="F35" s="5" t="s">
        <v>161</v>
      </c>
      <c r="G35" s="4">
        <v>0.015</v>
      </c>
      <c r="H35" s="4">
        <v>5.475</v>
      </c>
    </row>
    <row r="36" spans="1:8" x14ac:dyDescent="0.25">
      <c r="A36" s="5" t="s">
        <v>15</v>
      </c>
      <c r="B36" s="5" t="s">
        <v>95</v>
      </c>
      <c r="C36" s="5" t="s">
        <v>96</v>
      </c>
      <c r="D36" s="4">
        <v>365</v>
      </c>
      <c r="E36" s="5" t="s">
        <v>174</v>
      </c>
      <c r="F36" s="5" t="s">
        <v>175</v>
      </c>
      <c r="G36" s="4">
        <v>0.03</v>
      </c>
      <c r="H36" s="4">
        <v>10.95</v>
      </c>
    </row>
    <row r="37" spans="1:8" x14ac:dyDescent="0.25">
      <c r="A37" s="5" t="s">
        <v>15</v>
      </c>
      <c r="B37" s="5" t="s">
        <v>95</v>
      </c>
      <c r="C37" s="5" t="s">
        <v>96</v>
      </c>
      <c r="D37" s="4">
        <v>365</v>
      </c>
      <c r="E37" s="5" t="s">
        <v>216</v>
      </c>
      <c r="F37" s="5" t="s">
        <v>217</v>
      </c>
      <c r="G37" s="4">
        <v>0.006</v>
      </c>
      <c r="H37" s="4">
        <v>2.19</v>
      </c>
    </row>
    <row r="38" spans="1:8" x14ac:dyDescent="0.25">
      <c r="A38" s="5" t="s">
        <v>15</v>
      </c>
      <c r="B38" s="5" t="s">
        <v>95</v>
      </c>
      <c r="C38" s="5" t="s">
        <v>96</v>
      </c>
      <c r="D38" s="4">
        <v>365</v>
      </c>
      <c r="E38" s="5" t="s">
        <v>234</v>
      </c>
      <c r="F38" s="5" t="s">
        <v>235</v>
      </c>
      <c r="G38" s="4">
        <v>0.02</v>
      </c>
      <c r="H38" s="4">
        <v>7.3</v>
      </c>
    </row>
    <row r="39" spans="1:8" x14ac:dyDescent="0.25">
      <c r="A39" s="5" t="s">
        <v>15</v>
      </c>
      <c r="B39" s="5" t="s">
        <v>95</v>
      </c>
      <c r="C39" s="5" t="s">
        <v>96</v>
      </c>
      <c r="D39" s="4">
        <v>365</v>
      </c>
      <c r="E39" s="5" t="s">
        <v>240</v>
      </c>
      <c r="F39" s="5" t="s">
        <v>241</v>
      </c>
      <c r="G39" s="4">
        <v>0.016</v>
      </c>
      <c r="H39" s="4">
        <v>5.84</v>
      </c>
    </row>
    <row r="40" spans="1:8" x14ac:dyDescent="0.25">
      <c r="A40" s="5" t="s">
        <v>15</v>
      </c>
      <c r="B40" s="5" t="s">
        <v>95</v>
      </c>
      <c r="C40" s="5" t="s">
        <v>96</v>
      </c>
      <c r="D40" s="4">
        <v>365</v>
      </c>
      <c r="E40" s="5" t="s">
        <v>248</v>
      </c>
      <c r="F40" s="5" t="s">
        <v>249</v>
      </c>
      <c r="G40" s="4">
        <v>0.1</v>
      </c>
      <c r="H40" s="4">
        <v>36.5</v>
      </c>
    </row>
    <row r="41" spans="1:8" x14ac:dyDescent="0.25">
      <c r="A41" s="5" t="s">
        <v>15</v>
      </c>
      <c r="B41" s="5" t="s">
        <v>269</v>
      </c>
      <c r="C41" s="5" t="s">
        <v>270</v>
      </c>
      <c r="D41" s="4">
        <v>2433</v>
      </c>
      <c r="E41" s="5" t="s">
        <v>131</v>
      </c>
      <c r="F41" s="5" t="s">
        <v>132</v>
      </c>
      <c r="G41" s="4">
        <v>0.16</v>
      </c>
      <c r="H41" s="4">
        <v>389.28000000000003</v>
      </c>
    </row>
    <row r="42" spans="1:8" x14ac:dyDescent="0.25">
      <c r="A42" s="5" t="s">
        <v>15</v>
      </c>
      <c r="B42" s="5" t="s">
        <v>269</v>
      </c>
      <c r="C42" s="5" t="s">
        <v>270</v>
      </c>
      <c r="D42" s="4">
        <v>2433</v>
      </c>
      <c r="E42" s="5" t="s">
        <v>135</v>
      </c>
      <c r="F42" s="5" t="s">
        <v>136</v>
      </c>
      <c r="G42" s="4">
        <v>1</v>
      </c>
      <c r="H42" s="4">
        <v>2433</v>
      </c>
    </row>
    <row r="43" spans="1:8" x14ac:dyDescent="0.25">
      <c r="A43" s="5" t="s">
        <v>15</v>
      </c>
      <c r="B43" s="5" t="s">
        <v>269</v>
      </c>
      <c r="C43" s="5" t="s">
        <v>270</v>
      </c>
      <c r="D43" s="4">
        <v>2433</v>
      </c>
      <c r="E43" s="5" t="s">
        <v>137</v>
      </c>
      <c r="F43" s="5" t="s">
        <v>138</v>
      </c>
      <c r="G43" s="4">
        <v>1</v>
      </c>
      <c r="H43" s="4">
        <v>2433</v>
      </c>
    </row>
    <row r="44" spans="1:8" x14ac:dyDescent="0.25">
      <c r="A44" s="5" t="s">
        <v>15</v>
      </c>
      <c r="B44" s="5" t="s">
        <v>269</v>
      </c>
      <c r="C44" s="5" t="s">
        <v>270</v>
      </c>
      <c r="D44" s="4">
        <v>2433</v>
      </c>
      <c r="E44" s="5" t="s">
        <v>61</v>
      </c>
      <c r="F44" s="5" t="s">
        <v>62</v>
      </c>
      <c r="G44" s="4">
        <v>0.025</v>
      </c>
      <c r="H44" s="4">
        <v>60.825</v>
      </c>
    </row>
    <row r="45" spans="1:8" x14ac:dyDescent="0.25">
      <c r="A45" s="5" t="s">
        <v>15</v>
      </c>
      <c r="B45" s="5" t="s">
        <v>269</v>
      </c>
      <c r="C45" s="5" t="s">
        <v>270</v>
      </c>
      <c r="D45" s="4">
        <v>2433</v>
      </c>
      <c r="E45" s="5" t="s">
        <v>33</v>
      </c>
      <c r="F45" s="5" t="s">
        <v>34</v>
      </c>
      <c r="G45" s="4">
        <v>0.005</v>
      </c>
      <c r="H45" s="4">
        <v>12.165000000000001</v>
      </c>
    </row>
    <row r="46" spans="1:8" x14ac:dyDescent="0.25">
      <c r="A46" s="5" t="s">
        <v>15</v>
      </c>
      <c r="B46" s="5" t="s">
        <v>117</v>
      </c>
      <c r="C46" s="5" t="s">
        <v>118</v>
      </c>
      <c r="D46" s="4">
        <v>326</v>
      </c>
      <c r="E46" s="5" t="s">
        <v>117</v>
      </c>
      <c r="F46" s="5" t="s">
        <v>118</v>
      </c>
      <c r="G46" s="4">
        <v>1</v>
      </c>
      <c r="H46" s="4">
        <v>326</v>
      </c>
    </row>
    <row r="47" spans="1:8" x14ac:dyDescent="0.25">
      <c r="A47" s="5" t="s">
        <v>15</v>
      </c>
      <c r="B47" s="5" t="s">
        <v>26</v>
      </c>
      <c r="C47" s="5" t="s">
        <v>27</v>
      </c>
      <c r="D47" s="4">
        <v>20</v>
      </c>
      <c r="E47" s="5" t="s">
        <v>26</v>
      </c>
      <c r="F47" s="5" t="s">
        <v>27</v>
      </c>
      <c r="G47" s="4">
        <v>1</v>
      </c>
      <c r="H47" s="4">
        <v>20</v>
      </c>
    </row>
    <row r="48" spans="1:8" x14ac:dyDescent="0.25">
      <c r="A48" s="5" t="s">
        <v>15</v>
      </c>
      <c r="B48" s="5" t="s">
        <v>188</v>
      </c>
      <c r="C48" s="5" t="s">
        <v>189</v>
      </c>
      <c r="D48" s="4">
        <v>193</v>
      </c>
      <c r="E48" s="5" t="s">
        <v>188</v>
      </c>
      <c r="F48" s="5" t="s">
        <v>189</v>
      </c>
      <c r="G48" s="4">
        <v>1</v>
      </c>
      <c r="H48" s="4">
        <v>193</v>
      </c>
    </row>
    <row r="49" spans="1:8" x14ac:dyDescent="0.25">
      <c r="A49" s="5" t="s">
        <v>15</v>
      </c>
      <c r="B49" s="5" t="s">
        <v>55</v>
      </c>
      <c r="C49" s="5" t="s">
        <v>56</v>
      </c>
      <c r="D49" s="4">
        <v>5750</v>
      </c>
      <c r="E49" s="5" t="s">
        <v>55</v>
      </c>
      <c r="F49" s="5" t="s">
        <v>56</v>
      </c>
      <c r="G49" s="4">
        <v>1</v>
      </c>
      <c r="H49" s="4">
        <v>5750</v>
      </c>
    </row>
    <row r="50" spans="1:8" x14ac:dyDescent="0.25">
      <c r="A50" s="5" t="s">
        <v>15</v>
      </c>
      <c r="B50" s="5" t="s">
        <v>162</v>
      </c>
      <c r="C50" s="5" t="s">
        <v>163</v>
      </c>
      <c r="D50" s="4">
        <v>8</v>
      </c>
      <c r="E50" s="5" t="s">
        <v>162</v>
      </c>
      <c r="F50" s="5" t="s">
        <v>163</v>
      </c>
      <c r="G50" s="4">
        <v>1</v>
      </c>
      <c r="H50" s="4">
        <v>8</v>
      </c>
    </row>
    <row r="51" spans="1:8" x14ac:dyDescent="0.25">
      <c r="A51" s="5" t="s">
        <v>15</v>
      </c>
      <c r="B51" s="5" t="s">
        <v>206</v>
      </c>
      <c r="C51" s="5" t="s">
        <v>207</v>
      </c>
      <c r="D51" s="4">
        <v>1</v>
      </c>
      <c r="E51" s="5" t="s">
        <v>206</v>
      </c>
      <c r="F51" s="5" t="s">
        <v>207</v>
      </c>
      <c r="G51" s="4">
        <v>1</v>
      </c>
      <c r="H51" s="4">
        <v>1</v>
      </c>
    </row>
    <row r="52" spans="1:8" x14ac:dyDescent="0.25">
      <c r="A52" s="5" t="s">
        <v>15</v>
      </c>
      <c r="B52" s="5" t="s">
        <v>143</v>
      </c>
      <c r="C52" s="5" t="s">
        <v>144</v>
      </c>
      <c r="D52" s="4">
        <v>530</v>
      </c>
      <c r="E52" s="5" t="s">
        <v>214</v>
      </c>
      <c r="F52" s="5" t="s">
        <v>215</v>
      </c>
      <c r="G52" s="4">
        <v>0.002</v>
      </c>
      <c r="H52" s="4">
        <v>1.06</v>
      </c>
    </row>
    <row r="53" spans="1:8" x14ac:dyDescent="0.25">
      <c r="A53" s="5" t="s">
        <v>15</v>
      </c>
      <c r="B53" s="5" t="s">
        <v>143</v>
      </c>
      <c r="C53" s="5" t="s">
        <v>144</v>
      </c>
      <c r="D53" s="4">
        <v>530</v>
      </c>
      <c r="E53" s="5" t="s">
        <v>230</v>
      </c>
      <c r="F53" s="5" t="s">
        <v>231</v>
      </c>
      <c r="G53" s="4">
        <v>0.1</v>
      </c>
      <c r="H53" s="4">
        <v>53</v>
      </c>
    </row>
    <row r="54" spans="1:8" x14ac:dyDescent="0.25">
      <c r="A54" s="5" t="s">
        <v>15</v>
      </c>
      <c r="B54" s="5" t="s">
        <v>143</v>
      </c>
      <c r="C54" s="5" t="s">
        <v>144</v>
      </c>
      <c r="D54" s="4">
        <v>530</v>
      </c>
      <c r="E54" s="5" t="s">
        <v>160</v>
      </c>
      <c r="F54" s="5" t="s">
        <v>161</v>
      </c>
      <c r="G54" s="4">
        <v>0.005</v>
      </c>
      <c r="H54" s="4">
        <v>2.65</v>
      </c>
    </row>
    <row r="55" spans="1:8" x14ac:dyDescent="0.25">
      <c r="A55" s="5" t="s">
        <v>15</v>
      </c>
      <c r="B55" s="5" t="s">
        <v>143</v>
      </c>
      <c r="C55" s="5" t="s">
        <v>144</v>
      </c>
      <c r="D55" s="4">
        <v>530</v>
      </c>
      <c r="E55" s="5" t="s">
        <v>204</v>
      </c>
      <c r="F55" s="5" t="s">
        <v>205</v>
      </c>
      <c r="G55" s="4">
        <v>0.02</v>
      </c>
      <c r="H55" s="4">
        <v>10.6</v>
      </c>
    </row>
    <row r="56" spans="1:8" x14ac:dyDescent="0.25">
      <c r="A56" s="5" t="s">
        <v>15</v>
      </c>
      <c r="B56" s="5" t="s">
        <v>143</v>
      </c>
      <c r="C56" s="5" t="s">
        <v>144</v>
      </c>
      <c r="D56" s="4">
        <v>530</v>
      </c>
      <c r="E56" s="5" t="s">
        <v>216</v>
      </c>
      <c r="F56" s="5" t="s">
        <v>217</v>
      </c>
      <c r="G56" s="4">
        <v>0.003</v>
      </c>
      <c r="H56" s="4">
        <v>1.59</v>
      </c>
    </row>
    <row r="57" spans="1:8" x14ac:dyDescent="0.25">
      <c r="A57" s="5" t="s">
        <v>15</v>
      </c>
      <c r="B57" s="5" t="s">
        <v>143</v>
      </c>
      <c r="C57" s="5" t="s">
        <v>144</v>
      </c>
      <c r="D57" s="4">
        <v>530</v>
      </c>
      <c r="E57" s="5" t="s">
        <v>200</v>
      </c>
      <c r="F57" s="5" t="s">
        <v>201</v>
      </c>
      <c r="G57" s="4">
        <v>0.005</v>
      </c>
      <c r="H57" s="4">
        <v>2.65</v>
      </c>
    </row>
    <row r="58" spans="1:8" x14ac:dyDescent="0.25">
      <c r="A58" s="5" t="s">
        <v>15</v>
      </c>
      <c r="B58" s="5" t="s">
        <v>143</v>
      </c>
      <c r="C58" s="5" t="s">
        <v>144</v>
      </c>
      <c r="D58" s="4">
        <v>530</v>
      </c>
      <c r="E58" s="5" t="s">
        <v>208</v>
      </c>
      <c r="F58" s="5" t="s">
        <v>209</v>
      </c>
      <c r="G58" s="4">
        <v>0.04</v>
      </c>
      <c r="H58" s="4">
        <v>21.2</v>
      </c>
    </row>
    <row r="59" spans="1:8" x14ac:dyDescent="0.25">
      <c r="A59" s="5" t="s">
        <v>15</v>
      </c>
      <c r="B59" s="5" t="s">
        <v>143</v>
      </c>
      <c r="C59" s="5" t="s">
        <v>144</v>
      </c>
      <c r="D59" s="4">
        <v>530</v>
      </c>
      <c r="E59" s="5" t="s">
        <v>109</v>
      </c>
      <c r="F59" s="5" t="s">
        <v>110</v>
      </c>
      <c r="G59" s="4">
        <v>0.0035000000000000005</v>
      </c>
      <c r="H59" s="4">
        <v>1.8550000000000002</v>
      </c>
    </row>
    <row r="60" spans="1:8" x14ac:dyDescent="0.25">
      <c r="A60" s="5" t="s">
        <v>15</v>
      </c>
      <c r="B60" s="5" t="s">
        <v>143</v>
      </c>
      <c r="C60" s="5" t="s">
        <v>144</v>
      </c>
      <c r="D60" s="4">
        <v>530</v>
      </c>
      <c r="E60" s="5" t="s">
        <v>240</v>
      </c>
      <c r="F60" s="5" t="s">
        <v>241</v>
      </c>
      <c r="G60" s="4">
        <v>0.015</v>
      </c>
      <c r="H60" s="4">
        <v>7.949999999999999</v>
      </c>
    </row>
    <row r="61" spans="1:8" x14ac:dyDescent="0.25">
      <c r="A61" s="5" t="s">
        <v>15</v>
      </c>
      <c r="B61" s="5" t="s">
        <v>143</v>
      </c>
      <c r="C61" s="5" t="s">
        <v>144</v>
      </c>
      <c r="D61" s="4">
        <v>530</v>
      </c>
      <c r="E61" s="5" t="s">
        <v>248</v>
      </c>
      <c r="F61" s="5" t="s">
        <v>249</v>
      </c>
      <c r="G61" s="4">
        <v>0.1</v>
      </c>
      <c r="H61" s="4">
        <v>53</v>
      </c>
    </row>
    <row r="62" spans="1:8" x14ac:dyDescent="0.25">
      <c r="A62" s="5" t="s">
        <v>15</v>
      </c>
      <c r="B62" s="5" t="s">
        <v>164</v>
      </c>
      <c r="C62" s="5" t="s">
        <v>165</v>
      </c>
      <c r="D62" s="4">
        <v>149</v>
      </c>
      <c r="E62" s="5" t="s">
        <v>164</v>
      </c>
      <c r="F62" s="5" t="s">
        <v>165</v>
      </c>
      <c r="G62" s="4">
        <v>1</v>
      </c>
      <c r="H62" s="4">
        <v>149</v>
      </c>
    </row>
    <row r="63" spans="1:8" x14ac:dyDescent="0.25">
      <c r="A63" s="5" t="s">
        <v>15</v>
      </c>
      <c r="B63" s="5" t="s">
        <v>41</v>
      </c>
      <c r="C63" s="5" t="s">
        <v>42</v>
      </c>
      <c r="D63" s="4">
        <v>43</v>
      </c>
      <c r="E63" s="5" t="s">
        <v>41</v>
      </c>
      <c r="F63" s="5" t="s">
        <v>42</v>
      </c>
      <c r="G63" s="4">
        <v>1</v>
      </c>
      <c r="H63" s="4">
        <v>43</v>
      </c>
    </row>
    <row r="64" spans="1:8" x14ac:dyDescent="0.25">
      <c r="A64" s="5" t="s">
        <v>15</v>
      </c>
      <c r="B64" s="5" t="s">
        <v>279</v>
      </c>
      <c r="C64" s="5" t="s">
        <v>280</v>
      </c>
      <c r="D64" s="4">
        <v>6943</v>
      </c>
      <c r="E64" s="5" t="s">
        <v>47</v>
      </c>
      <c r="F64" s="5" t="s">
        <v>48</v>
      </c>
      <c r="G64" s="4">
        <v>0.1</v>
      </c>
      <c r="H64" s="4">
        <v>694.3000000000001</v>
      </c>
    </row>
    <row r="65" spans="1:8" x14ac:dyDescent="0.25">
      <c r="A65" s="5" t="s">
        <v>15</v>
      </c>
      <c r="B65" s="5" t="s">
        <v>279</v>
      </c>
      <c r="C65" s="5" t="s">
        <v>280</v>
      </c>
      <c r="D65" s="4">
        <v>6943</v>
      </c>
      <c r="E65" s="5" t="s">
        <v>131</v>
      </c>
      <c r="F65" s="5" t="s">
        <v>132</v>
      </c>
      <c r="G65" s="4">
        <v>0.13</v>
      </c>
      <c r="H65" s="4">
        <v>902.59</v>
      </c>
    </row>
    <row r="66" spans="1:8" x14ac:dyDescent="0.25">
      <c r="A66" s="5" t="s">
        <v>15</v>
      </c>
      <c r="B66" s="5" t="s">
        <v>279</v>
      </c>
      <c r="C66" s="5" t="s">
        <v>280</v>
      </c>
      <c r="D66" s="4">
        <v>6943</v>
      </c>
      <c r="E66" s="5" t="s">
        <v>135</v>
      </c>
      <c r="F66" s="5" t="s">
        <v>136</v>
      </c>
      <c r="G66" s="4">
        <v>2</v>
      </c>
      <c r="H66" s="4">
        <v>13886</v>
      </c>
    </row>
    <row r="67" spans="1:8" x14ac:dyDescent="0.25">
      <c r="A67" s="5" t="s">
        <v>15</v>
      </c>
      <c r="B67" s="5" t="s">
        <v>279</v>
      </c>
      <c r="C67" s="5" t="s">
        <v>280</v>
      </c>
      <c r="D67" s="4">
        <v>6943</v>
      </c>
      <c r="E67" s="5" t="s">
        <v>119</v>
      </c>
      <c r="F67" s="5" t="s">
        <v>120</v>
      </c>
      <c r="G67" s="4">
        <v>0.05</v>
      </c>
      <c r="H67" s="4">
        <v>347.15000000000003</v>
      </c>
    </row>
    <row r="68" spans="1:8" x14ac:dyDescent="0.25">
      <c r="A68" s="5" t="s">
        <v>15</v>
      </c>
      <c r="B68" s="5" t="s">
        <v>279</v>
      </c>
      <c r="C68" s="5" t="s">
        <v>280</v>
      </c>
      <c r="D68" s="4">
        <v>6943</v>
      </c>
      <c r="E68" s="5" t="s">
        <v>71</v>
      </c>
      <c r="F68" s="5" t="s">
        <v>72</v>
      </c>
      <c r="G68" s="4">
        <v>0.08</v>
      </c>
      <c r="H68" s="4">
        <v>555.44</v>
      </c>
    </row>
    <row r="69" spans="1:8" x14ac:dyDescent="0.25">
      <c r="A69" s="5" t="s">
        <v>15</v>
      </c>
      <c r="B69" s="5" t="s">
        <v>279</v>
      </c>
      <c r="C69" s="5" t="s">
        <v>280</v>
      </c>
      <c r="D69" s="4">
        <v>6943</v>
      </c>
      <c r="E69" s="5" t="s">
        <v>137</v>
      </c>
      <c r="F69" s="5" t="s">
        <v>138</v>
      </c>
      <c r="G69" s="4">
        <v>2</v>
      </c>
      <c r="H69" s="4">
        <v>13886</v>
      </c>
    </row>
    <row r="70" spans="1:8" x14ac:dyDescent="0.25">
      <c r="A70" s="5" t="s">
        <v>15</v>
      </c>
      <c r="B70" s="5" t="s">
        <v>279</v>
      </c>
      <c r="C70" s="5" t="s">
        <v>280</v>
      </c>
      <c r="D70" s="4">
        <v>6943</v>
      </c>
      <c r="E70" s="5" t="s">
        <v>61</v>
      </c>
      <c r="F70" s="5" t="s">
        <v>62</v>
      </c>
      <c r="G70" s="4">
        <v>0.05</v>
      </c>
      <c r="H70" s="4">
        <v>347.15000000000003</v>
      </c>
    </row>
    <row r="71" spans="1:8" x14ac:dyDescent="0.25">
      <c r="A71" s="5" t="s">
        <v>15</v>
      </c>
      <c r="B71" s="5" t="s">
        <v>279</v>
      </c>
      <c r="C71" s="5" t="s">
        <v>280</v>
      </c>
      <c r="D71" s="4">
        <v>6943</v>
      </c>
      <c r="E71" s="5" t="s">
        <v>33</v>
      </c>
      <c r="F71" s="5" t="s">
        <v>34</v>
      </c>
      <c r="G71" s="4">
        <v>0.005</v>
      </c>
      <c r="H71" s="4">
        <v>34.715</v>
      </c>
    </row>
    <row r="72" spans="1:8" x14ac:dyDescent="0.25">
      <c r="A72" s="5" t="s">
        <v>15</v>
      </c>
      <c r="B72" s="5" t="s">
        <v>125</v>
      </c>
      <c r="C72" s="5" t="s">
        <v>126</v>
      </c>
      <c r="D72" s="4">
        <v>541</v>
      </c>
      <c r="E72" s="5" t="s">
        <v>222</v>
      </c>
      <c r="F72" s="5" t="s">
        <v>223</v>
      </c>
      <c r="G72" s="4">
        <v>2</v>
      </c>
      <c r="H72" s="4">
        <v>1082</v>
      </c>
    </row>
    <row r="73" spans="1:8" x14ac:dyDescent="0.25">
      <c r="A73" s="5" t="s">
        <v>15</v>
      </c>
      <c r="B73" s="5" t="s">
        <v>125</v>
      </c>
      <c r="C73" s="5" t="s">
        <v>126</v>
      </c>
      <c r="D73" s="4">
        <v>541</v>
      </c>
      <c r="E73" s="5" t="s">
        <v>172</v>
      </c>
      <c r="F73" s="5" t="s">
        <v>173</v>
      </c>
      <c r="G73" s="4">
        <v>1</v>
      </c>
      <c r="H73" s="4">
        <v>541</v>
      </c>
    </row>
    <row r="74" spans="1:8" x14ac:dyDescent="0.25">
      <c r="A74" s="5" t="s">
        <v>15</v>
      </c>
      <c r="B74" s="5" t="s">
        <v>125</v>
      </c>
      <c r="C74" s="5" t="s">
        <v>126</v>
      </c>
      <c r="D74" s="4">
        <v>541</v>
      </c>
      <c r="E74" s="5" t="s">
        <v>218</v>
      </c>
      <c r="F74" s="5" t="s">
        <v>219</v>
      </c>
      <c r="G74" s="4">
        <v>2</v>
      </c>
      <c r="H74" s="4">
        <v>1082</v>
      </c>
    </row>
    <row r="75" spans="1:8" x14ac:dyDescent="0.25">
      <c r="A75" s="5" t="s">
        <v>15</v>
      </c>
      <c r="B75" s="5" t="s">
        <v>202</v>
      </c>
      <c r="C75" s="5" t="s">
        <v>203</v>
      </c>
      <c r="D75" s="4">
        <v>8679</v>
      </c>
      <c r="E75" s="5" t="s">
        <v>131</v>
      </c>
      <c r="F75" s="5" t="s">
        <v>132</v>
      </c>
      <c r="G75" s="4">
        <v>0.1</v>
      </c>
      <c r="H75" s="4">
        <v>867.9000000000001</v>
      </c>
    </row>
    <row r="76" spans="1:8" x14ac:dyDescent="0.25">
      <c r="A76" s="5" t="s">
        <v>15</v>
      </c>
      <c r="B76" s="5" t="s">
        <v>202</v>
      </c>
      <c r="C76" s="5" t="s">
        <v>203</v>
      </c>
      <c r="D76" s="4">
        <v>8679</v>
      </c>
      <c r="E76" s="5" t="s">
        <v>135</v>
      </c>
      <c r="F76" s="5" t="s">
        <v>136</v>
      </c>
      <c r="G76" s="4">
        <v>1</v>
      </c>
      <c r="H76" s="4">
        <v>8679</v>
      </c>
    </row>
    <row r="77" spans="1:8" x14ac:dyDescent="0.25">
      <c r="A77" s="5" t="s">
        <v>15</v>
      </c>
      <c r="B77" s="5" t="s">
        <v>202</v>
      </c>
      <c r="C77" s="5" t="s">
        <v>203</v>
      </c>
      <c r="D77" s="4">
        <v>8679</v>
      </c>
      <c r="E77" s="5" t="s">
        <v>137</v>
      </c>
      <c r="F77" s="5" t="s">
        <v>138</v>
      </c>
      <c r="G77" s="4">
        <v>1</v>
      </c>
      <c r="H77" s="4">
        <v>8679</v>
      </c>
    </row>
    <row r="78" spans="1:8" x14ac:dyDescent="0.25">
      <c r="A78" s="5" t="s">
        <v>15</v>
      </c>
      <c r="B78" s="5" t="s">
        <v>202</v>
      </c>
      <c r="C78" s="5" t="s">
        <v>203</v>
      </c>
      <c r="D78" s="4">
        <v>8679</v>
      </c>
      <c r="E78" s="5" t="s">
        <v>145</v>
      </c>
      <c r="F78" s="5" t="s">
        <v>146</v>
      </c>
      <c r="G78" s="4">
        <v>0.01</v>
      </c>
      <c r="H78" s="4">
        <v>86.79</v>
      </c>
    </row>
    <row r="79" spans="1:8" x14ac:dyDescent="0.25">
      <c r="A79" s="5" t="s">
        <v>15</v>
      </c>
      <c r="B79" s="5" t="s">
        <v>202</v>
      </c>
      <c r="C79" s="5" t="s">
        <v>203</v>
      </c>
      <c r="D79" s="4">
        <v>8679</v>
      </c>
      <c r="E79" s="5" t="s">
        <v>61</v>
      </c>
      <c r="F79" s="5" t="s">
        <v>62</v>
      </c>
      <c r="G79" s="4">
        <v>0.025</v>
      </c>
      <c r="H79" s="4">
        <v>216.97500000000002</v>
      </c>
    </row>
    <row r="80" spans="1:8" x14ac:dyDescent="0.25">
      <c r="A80" s="5" t="s">
        <v>15</v>
      </c>
      <c r="B80" s="5" t="s">
        <v>202</v>
      </c>
      <c r="C80" s="5" t="s">
        <v>203</v>
      </c>
      <c r="D80" s="4">
        <v>8679</v>
      </c>
      <c r="E80" s="5" t="s">
        <v>33</v>
      </c>
      <c r="F80" s="5" t="s">
        <v>34</v>
      </c>
      <c r="G80" s="4">
        <v>0.005</v>
      </c>
      <c r="H80" s="4">
        <v>43.395</v>
      </c>
    </row>
    <row r="81" spans="1:8" x14ac:dyDescent="0.25">
      <c r="A81" s="5" t="s">
        <v>15</v>
      </c>
      <c r="B81" s="5" t="s">
        <v>202</v>
      </c>
      <c r="C81" s="5" t="s">
        <v>203</v>
      </c>
      <c r="D81" s="4">
        <v>8679</v>
      </c>
      <c r="E81" s="5" t="s">
        <v>238</v>
      </c>
      <c r="F81" s="5" t="s">
        <v>239</v>
      </c>
      <c r="G81" s="4">
        <v>1</v>
      </c>
      <c r="H81" s="4">
        <v>8679</v>
      </c>
    </row>
    <row r="82" spans="1:8" x14ac:dyDescent="0.25">
      <c r="A82" s="5" t="s">
        <v>15</v>
      </c>
      <c r="B82" s="5" t="s">
        <v>202</v>
      </c>
      <c r="C82" s="5" t="s">
        <v>203</v>
      </c>
      <c r="D82" s="4">
        <v>8679</v>
      </c>
      <c r="E82" s="5" t="s">
        <v>73</v>
      </c>
      <c r="F82" s="5" t="s">
        <v>74</v>
      </c>
      <c r="G82" s="4">
        <v>0.04</v>
      </c>
      <c r="H82" s="4">
        <v>347.16</v>
      </c>
    </row>
    <row r="83" spans="1:8" x14ac:dyDescent="0.25">
      <c r="A83" s="5" t="s">
        <v>15</v>
      </c>
      <c r="B83" s="5" t="s">
        <v>109</v>
      </c>
      <c r="C83" s="5" t="s">
        <v>110</v>
      </c>
      <c r="D83" s="4">
        <v>168</v>
      </c>
      <c r="E83" s="5" t="s">
        <v>51</v>
      </c>
      <c r="F83" s="5" t="s">
        <v>52</v>
      </c>
      <c r="G83" s="4">
        <v>240</v>
      </c>
      <c r="H83" s="4">
        <v>40320</v>
      </c>
    </row>
    <row r="84" spans="1:8" x14ac:dyDescent="0.25">
      <c r="A84" s="5" t="s">
        <v>15</v>
      </c>
      <c r="B84" s="5" t="s">
        <v>109</v>
      </c>
      <c r="C84" s="5" t="s">
        <v>110</v>
      </c>
      <c r="D84" s="4">
        <v>168</v>
      </c>
      <c r="E84" s="5" t="s">
        <v>154</v>
      </c>
      <c r="F84" s="5" t="s">
        <v>155</v>
      </c>
      <c r="G84" s="4">
        <v>1</v>
      </c>
      <c r="H84" s="4">
        <v>168</v>
      </c>
    </row>
    <row r="85" spans="1:8" x14ac:dyDescent="0.25">
      <c r="A85" s="5" t="s">
        <v>15</v>
      </c>
      <c r="B85" s="5" t="s">
        <v>109</v>
      </c>
      <c r="C85" s="5" t="s">
        <v>110</v>
      </c>
      <c r="D85" s="4">
        <v>168</v>
      </c>
      <c r="E85" s="5" t="s">
        <v>109</v>
      </c>
      <c r="F85" s="5" t="s">
        <v>110</v>
      </c>
      <c r="G85" s="4">
        <v>20</v>
      </c>
      <c r="H85" s="4">
        <v>3360</v>
      </c>
    </row>
    <row r="86" spans="1:8" x14ac:dyDescent="0.25">
      <c r="A86" s="5" t="s">
        <v>15</v>
      </c>
      <c r="B86" s="5" t="s">
        <v>87</v>
      </c>
      <c r="C86" s="5" t="s">
        <v>88</v>
      </c>
      <c r="D86" s="4">
        <v>809</v>
      </c>
      <c r="E86" s="5" t="s">
        <v>182</v>
      </c>
      <c r="F86" s="5" t="s">
        <v>183</v>
      </c>
      <c r="G86" s="4">
        <v>0.004655172413793104</v>
      </c>
      <c r="H86" s="4">
        <v>3.766034482758621</v>
      </c>
    </row>
    <row r="87" spans="1:8" x14ac:dyDescent="0.25">
      <c r="A87" s="5" t="s">
        <v>15</v>
      </c>
      <c r="B87" s="5" t="s">
        <v>87</v>
      </c>
      <c r="C87" s="5" t="s">
        <v>88</v>
      </c>
      <c r="D87" s="4">
        <v>809</v>
      </c>
      <c r="E87" s="5" t="s">
        <v>230</v>
      </c>
      <c r="F87" s="5" t="s">
        <v>231</v>
      </c>
      <c r="G87" s="4">
        <v>0.03017241379310345</v>
      </c>
      <c r="H87" s="4">
        <v>24.40948275862069</v>
      </c>
    </row>
    <row r="88" spans="1:8" x14ac:dyDescent="0.25">
      <c r="A88" s="5" t="s">
        <v>15</v>
      </c>
      <c r="B88" s="5" t="s">
        <v>87</v>
      </c>
      <c r="C88" s="5" t="s">
        <v>88</v>
      </c>
      <c r="D88" s="4">
        <v>809</v>
      </c>
      <c r="E88" s="5" t="s">
        <v>158</v>
      </c>
      <c r="F88" s="5" t="s">
        <v>159</v>
      </c>
      <c r="G88" s="4">
        <v>0.025689655172413794</v>
      </c>
      <c r="H88" s="4">
        <v>20.782931034482758</v>
      </c>
    </row>
    <row r="89" spans="1:8" x14ac:dyDescent="0.25">
      <c r="A89" s="5" t="s">
        <v>15</v>
      </c>
      <c r="B89" s="5" t="s">
        <v>87</v>
      </c>
      <c r="C89" s="5" t="s">
        <v>88</v>
      </c>
      <c r="D89" s="4">
        <v>809</v>
      </c>
      <c r="E89" s="5" t="s">
        <v>198</v>
      </c>
      <c r="F89" s="5" t="s">
        <v>199</v>
      </c>
      <c r="G89" s="4">
        <v>0.0022758620689655173</v>
      </c>
      <c r="H89" s="4">
        <v>1.8411724137931036</v>
      </c>
    </row>
    <row r="90" spans="1:8" x14ac:dyDescent="0.25">
      <c r="A90" s="5" t="s">
        <v>15</v>
      </c>
      <c r="B90" s="5" t="s">
        <v>87</v>
      </c>
      <c r="C90" s="5" t="s">
        <v>88</v>
      </c>
      <c r="D90" s="4">
        <v>809</v>
      </c>
      <c r="E90" s="5" t="s">
        <v>216</v>
      </c>
      <c r="F90" s="5" t="s">
        <v>217</v>
      </c>
      <c r="G90" s="4">
        <v>0.05344827586206897</v>
      </c>
      <c r="H90" s="4">
        <v>43.2396551724138</v>
      </c>
    </row>
    <row r="91" spans="1:8" x14ac:dyDescent="0.25">
      <c r="A91" s="5" t="s">
        <v>15</v>
      </c>
      <c r="B91" s="5" t="s">
        <v>87</v>
      </c>
      <c r="C91" s="5" t="s">
        <v>88</v>
      </c>
      <c r="D91" s="4">
        <v>809</v>
      </c>
      <c r="E91" s="5" t="s">
        <v>178</v>
      </c>
      <c r="F91" s="5" t="s">
        <v>179</v>
      </c>
      <c r="G91" s="4">
        <v>0.0016724137931034483</v>
      </c>
      <c r="H91" s="4">
        <v>1.3529827586206897</v>
      </c>
    </row>
    <row r="92" spans="1:8" x14ac:dyDescent="0.25">
      <c r="A92" s="5" t="s">
        <v>15</v>
      </c>
      <c r="B92" s="5" t="s">
        <v>87</v>
      </c>
      <c r="C92" s="5" t="s">
        <v>88</v>
      </c>
      <c r="D92" s="4">
        <v>809</v>
      </c>
      <c r="E92" s="5" t="s">
        <v>200</v>
      </c>
      <c r="F92" s="5" t="s">
        <v>201</v>
      </c>
      <c r="G92" s="4">
        <v>0.008620689655172414</v>
      </c>
      <c r="H92" s="4">
        <v>6.974137931034483</v>
      </c>
    </row>
    <row r="93" spans="1:8" x14ac:dyDescent="0.25">
      <c r="A93" s="5" t="s">
        <v>15</v>
      </c>
      <c r="B93" s="5" t="s">
        <v>87</v>
      </c>
      <c r="C93" s="5" t="s">
        <v>88</v>
      </c>
      <c r="D93" s="4">
        <v>809</v>
      </c>
      <c r="E93" s="5" t="s">
        <v>240</v>
      </c>
      <c r="F93" s="5" t="s">
        <v>241</v>
      </c>
      <c r="G93" s="4">
        <v>0.034482758620689655</v>
      </c>
      <c r="H93" s="4">
        <v>27.896551724137932</v>
      </c>
    </row>
    <row r="94" spans="1:8" x14ac:dyDescent="0.25">
      <c r="A94" s="5" t="s">
        <v>15</v>
      </c>
      <c r="B94" s="5" t="s">
        <v>87</v>
      </c>
      <c r="C94" s="5" t="s">
        <v>88</v>
      </c>
      <c r="D94" s="4">
        <v>809</v>
      </c>
      <c r="E94" s="5" t="s">
        <v>248</v>
      </c>
      <c r="F94" s="5" t="s">
        <v>249</v>
      </c>
      <c r="G94" s="4">
        <v>0.25862068965517243</v>
      </c>
      <c r="H94" s="4">
        <v>209.2241379310345</v>
      </c>
    </row>
    <row r="95" spans="1:8" x14ac:dyDescent="0.25">
      <c r="A95" s="5" t="s">
        <v>15</v>
      </c>
      <c r="B95" s="5" t="s">
        <v>87</v>
      </c>
      <c r="C95" s="5" t="s">
        <v>88</v>
      </c>
      <c r="D95" s="4">
        <v>809</v>
      </c>
      <c r="E95" s="5" t="s">
        <v>176</v>
      </c>
      <c r="F95" s="5" t="s">
        <v>177</v>
      </c>
      <c r="G95" s="4">
        <v>0.015948275862068966</v>
      </c>
      <c r="H95" s="4">
        <v>12.902155172413794</v>
      </c>
    </row>
    <row r="96" spans="1:8" x14ac:dyDescent="0.25">
      <c r="A96" s="5" t="s">
        <v>15</v>
      </c>
      <c r="B96" s="5" t="s">
        <v>24</v>
      </c>
      <c r="C96" s="5" t="s">
        <v>25</v>
      </c>
      <c r="D96" s="4">
        <v>1722</v>
      </c>
      <c r="E96" s="5" t="s">
        <v>24</v>
      </c>
      <c r="F96" s="5" t="s">
        <v>25</v>
      </c>
      <c r="G96" s="4">
        <v>1</v>
      </c>
      <c r="H96" s="4">
        <v>1722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ABACI — Tedarikli</vt:lpstr>
      <vt:lpstr>Diğer (Kategorisiz)</vt:lpstr>
      <vt:lpstr>Satış Raporu</vt:lpstr>
      <vt:lpstr>Hammaddeler</vt:lpstr>
      <vt:lpstr>Reçete Tüketim Detay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İzbel Stok Sayım</dc:creator>
  <dc:title/>
  <dc:subject/>
  <dc:description/>
  <cp:keywords/>
  <cp:category/>
  <cp:lastModifiedBy>Unknown</cp:lastModifiedBy>
  <dcterms:created xsi:type="dcterms:W3CDTF">2026-04-17T13:40:50Z</dcterms:created>
  <dcterms:modified xsi:type="dcterms:W3CDTF">2026-04-17T13:40:50Z</dcterms:modified>
</cp:coreProperties>
</file>